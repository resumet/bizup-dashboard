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Server\bizup\"/>
    </mc:Choice>
  </mc:AlternateContent>
  <xr:revisionPtr revIDLastSave="0" documentId="13_ncr:1_{F89B4FE8-1E7D-40E7-AB30-75F3AD0651E5}" xr6:coauthVersionLast="47" xr6:coauthVersionMax="47" xr10:uidLastSave="{00000000-0000-0000-0000-000000000000}"/>
  <bookViews>
    <workbookView xWindow="-120" yWindow="-120" windowWidth="29040" windowHeight="15720" activeTab="1" xr2:uid="{BC0CB640-0F53-4404-A9C8-6AABD79C49ED}"/>
  </bookViews>
  <sheets>
    <sheet name="비즈업_요약" sheetId="1" r:id="rId1"/>
    <sheet name="비즈업_토스" sheetId="2" r:id="rId2"/>
    <sheet name="비즈업_무통장" sheetId="3" r:id="rId3"/>
    <sheet name="비즈업_부가서비스" sheetId="4" r:id="rId4"/>
  </sheets>
  <definedNames>
    <definedName name="_xlnm._FilterDatabase" localSheetId="2" hidden="1">비즈업_무통장!$A$1:$H$1</definedName>
    <definedName name="_xlnm._FilterDatabase" localSheetId="3" hidden="1">비즈업_부가서비스!$A$1:$G$25</definedName>
    <definedName name="_xlnm._FilterDatabase" localSheetId="1" hidden="1">비즈업_토스!$A$1:$V$75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1" l="1"/>
  <c r="O8" i="1"/>
  <c r="C17" i="1"/>
</calcChain>
</file>

<file path=xl/sharedStrings.xml><?xml version="1.0" encoding="utf-8"?>
<sst xmlns="http://schemas.openxmlformats.org/spreadsheetml/2006/main" count="1346" uniqueCount="436">
  <si>
    <t>bizupclass</t>
  </si>
  <si>
    <t>상점아이디(MID)</t>
  </si>
  <si>
    <t>매출일</t>
  </si>
  <si>
    <t>결제/취소일</t>
  </si>
  <si>
    <t>원거래승인일</t>
  </si>
  <si>
    <t>주문번호</t>
  </si>
  <si>
    <t>결제수단</t>
  </si>
  <si>
    <t>결제상태</t>
  </si>
  <si>
    <t>결제기관</t>
  </si>
  <si>
    <t>구매자명</t>
  </si>
  <si>
    <t>구매자 아이디</t>
  </si>
  <si>
    <t>결제·취소액 (A)</t>
  </si>
  <si>
    <t>PG수수료 (B)</t>
  </si>
  <si>
    <t xml:space="preserve">공급가액 </t>
  </si>
  <si>
    <t xml:space="preserve">부가세 </t>
  </si>
  <si>
    <t>당일 정산액 (C) = (A-B)</t>
  </si>
  <si>
    <t>카드 매입상태</t>
  </si>
  <si>
    <t>구매상품</t>
  </si>
  <si>
    <t>카드 승인번호</t>
  </si>
  <si>
    <t>TID</t>
  </si>
  <si>
    <t>강사명</t>
    <phoneticPr fontId="9" type="noConversion"/>
  </si>
  <si>
    <t>적용수수료율</t>
    <phoneticPr fontId="9" type="noConversion"/>
  </si>
  <si>
    <t>할부개월수</t>
    <phoneticPr fontId="9" type="noConversion"/>
  </si>
  <si>
    <t>플랫폼명</t>
    <phoneticPr fontId="9" type="noConversion"/>
  </si>
  <si>
    <t>결제일시</t>
  </si>
  <si>
    <t>구매자이메일</t>
  </si>
  <si>
    <t>구매자전화번호</t>
  </si>
  <si>
    <t>결제액</t>
  </si>
  <si>
    <t>취소액</t>
  </si>
  <si>
    <t>강의명</t>
    <phoneticPr fontId="9" type="noConversion"/>
  </si>
  <si>
    <t>플랫폼명</t>
  </si>
  <si>
    <t>강사명</t>
  </si>
  <si>
    <t>이용서비스 명</t>
  </si>
  <si>
    <t>이용날짜</t>
    <phoneticPr fontId="9" type="noConversion"/>
  </si>
  <si>
    <t>기타 비용</t>
  </si>
  <si>
    <t>총계</t>
  </si>
  <si>
    <t>비고</t>
  </si>
  <si>
    <t>스튜디오 및 장비 대여</t>
  </si>
  <si>
    <t>무료 라이브 PD 지원 (7시간)</t>
  </si>
  <si>
    <t>김해준</t>
  </si>
  <si>
    <t>이우숙</t>
  </si>
  <si>
    <t>agness7687@gmail.com</t>
  </si>
  <si>
    <t>01090347687</t>
  </si>
  <si>
    <t>클릭 몇번에 방구석 억대매출 올린 광고중개 부업 - 광고실행사반</t>
  </si>
  <si>
    <t>장일주</t>
  </si>
  <si>
    <t>xndosl99@daum.net</t>
  </si>
  <si>
    <t>01083597387</t>
  </si>
  <si>
    <t>2026-06-09</t>
  </si>
  <si>
    <t>2026-05-14</t>
  </si>
  <si>
    <t>58c937aa-172a-4ada-936c-f38e77bb944f</t>
  </si>
  <si>
    <t>신용·체크카드</t>
  </si>
  <si>
    <t>부분취소</t>
  </si>
  <si>
    <t>국민카드</t>
  </si>
  <si>
    <t>김시연</t>
  </si>
  <si>
    <t>0918f713-ed92-48ff-b969-3bd3c8fa4375</t>
  </si>
  <si>
    <t>매입부분취소</t>
  </si>
  <si>
    <t>초코라떼의 따박따박 월 500만원 연금같은 수익나는 수동구매대행 - 기본반</t>
  </si>
  <si>
    <t>30040232</t>
  </si>
  <si>
    <t>bizup20260514215720xHDw2</t>
  </si>
  <si>
    <t>초코라떼</t>
  </si>
  <si>
    <t>9.90%</t>
  </si>
  <si>
    <t>12개월</t>
  </si>
  <si>
    <t>2026-06-04</t>
  </si>
  <si>
    <t>efaa6451-0b9c-4706-87f6-fcf167e6dba8</t>
  </si>
  <si>
    <t>취소</t>
  </si>
  <si>
    <t>신한카드</t>
  </si>
  <si>
    <t>김세현</t>
  </si>
  <si>
    <t>28584e71-daeb-4154-bbcf-302f09ad13c3</t>
  </si>
  <si>
    <t>매입취소</t>
  </si>
  <si>
    <t>13903262</t>
  </si>
  <si>
    <t>bizup20260514233224vEYC8</t>
  </si>
  <si>
    <t>2026-06-01</t>
  </si>
  <si>
    <t>aeaa2ab3-89f2-4ad4-8e79-27c1de23fe49</t>
  </si>
  <si>
    <t>KIM SUNGJA</t>
  </si>
  <si>
    <t>fc3579de-1f5e-4fc5-b537-8a9d1c7ae5fa</t>
  </si>
  <si>
    <t>30035403</t>
  </si>
  <si>
    <t>bizup20260514222205Hvbh3</t>
  </si>
  <si>
    <t>29efb7ea-acd7-4fcb-bae5-14b9dbf33439</t>
  </si>
  <si>
    <t>현대카드</t>
  </si>
  <si>
    <t>임용성</t>
  </si>
  <si>
    <t>9917854d-37c1-44d3-bcfb-84c7f82ebfcf</t>
  </si>
  <si>
    <t>초코라떼의 따박따박 월 500만원 연금같은 수익나는 수동구매대행 - 강제실행반</t>
  </si>
  <si>
    <t>00906818</t>
  </si>
  <si>
    <t>bizup20260514225054rTup5</t>
  </si>
  <si>
    <t>2026-06-08</t>
  </si>
  <si>
    <t>2026-05-28</t>
  </si>
  <si>
    <t>3c177921-1505-43ae-ab55-caf819182fcd</t>
  </si>
  <si>
    <t>삼성카드</t>
  </si>
  <si>
    <t>조아름</t>
  </si>
  <si>
    <t>5878d4c1-9904-4fbd-bffc-7c424bb91382</t>
  </si>
  <si>
    <t>인스타그램 공동구매 수익화 클래스 - 멱살캐리 챌린지반</t>
  </si>
  <si>
    <t>97808514</t>
  </si>
  <si>
    <t>bizup20260528222027Fpil7</t>
  </si>
  <si>
    <t>엘플랑,두뜬</t>
  </si>
  <si>
    <t>2.97%</t>
  </si>
  <si>
    <t>일시불</t>
  </si>
  <si>
    <t>2026-06-06</t>
  </si>
  <si>
    <t>c3fe0571-fa20-4e2b-8d33-7b4103424113</t>
  </si>
  <si>
    <t>비씨카드</t>
  </si>
  <si>
    <t>강경아</t>
  </si>
  <si>
    <t>3d9ac3c2-8c56-4609-9dff-ad174ae9028d</t>
  </si>
  <si>
    <t>52465220</t>
  </si>
  <si>
    <t>bizup20260528233426CZhA4</t>
  </si>
  <si>
    <t>6.27%</t>
  </si>
  <si>
    <t>5개월</t>
  </si>
  <si>
    <t>2026-06-02</t>
  </si>
  <si>
    <t>2026-05-30</t>
  </si>
  <si>
    <t>5a1a47d3-6ef4-4854-b6d1-0ad16a0c7763</t>
  </si>
  <si>
    <t>이미경</t>
  </si>
  <si>
    <t>33da94f5-65e6-4e45-a1f7-ae8e04841e6e</t>
  </si>
  <si>
    <t>30032183</t>
  </si>
  <si>
    <t>bizup20260530124159E76m2</t>
  </si>
  <si>
    <t>d73f29cf-26b6-4e60-8a50-6c9e59b11fdc</t>
  </si>
  <si>
    <t>완료</t>
  </si>
  <si>
    <t>김세희</t>
  </si>
  <si>
    <t>0e87c0a3-92c9-4bf7-8c4f-c4d23f6934ec</t>
  </si>
  <si>
    <t>매입</t>
  </si>
  <si>
    <t>인스타그램 공동구매 수익화 클래스 - 기본반</t>
  </si>
  <si>
    <t>39723081</t>
  </si>
  <si>
    <t>bizup20260601135137DlOV1</t>
  </si>
  <si>
    <t>527b5cc3-28fd-43c1-827b-f0fa8a3d8e32</t>
  </si>
  <si>
    <t>롯데카드</t>
  </si>
  <si>
    <t>정대훈</t>
  </si>
  <si>
    <t>262bc6ca-76db-4a5a-8c93-54fae6667b0a</t>
  </si>
  <si>
    <t>56271515</t>
  </si>
  <si>
    <t>bizup20260601152026LTcJ9</t>
  </si>
  <si>
    <t>2026-06-03</t>
  </si>
  <si>
    <t>3e683503-ca27-4d32-ac84-b9e339cc01ee</t>
  </si>
  <si>
    <t>가상계좌</t>
  </si>
  <si>
    <t>우리</t>
  </si>
  <si>
    <t>김덕영</t>
  </si>
  <si>
    <t>22cc1355-f6e9-4b30-abe8-9087ca1ecdeb</t>
  </si>
  <si>
    <t/>
  </si>
  <si>
    <t>bizup20260529000843HZpd7</t>
  </si>
  <si>
    <t>2026-06-24</t>
  </si>
  <si>
    <t>2026-06-23</t>
  </si>
  <si>
    <t>27bd5a84-991d-4058-9273-451f8f41cb39</t>
  </si>
  <si>
    <t>김소운</t>
  </si>
  <si>
    <t>c6207ef4-8a0e-4d96-a4b1-995d05da322e</t>
  </si>
  <si>
    <t>인생을 바꾼 하루 1시간 부업 공동구매중개 - 될때까지 패키지반</t>
  </si>
  <si>
    <t>28927053</t>
  </si>
  <si>
    <t>bizup20260623213956sBRS8</t>
  </si>
  <si>
    <t>투인컴</t>
  </si>
  <si>
    <t>28268357-a806-4872-b4a8-dc7d1923a1a7</t>
  </si>
  <si>
    <t>박재영</t>
  </si>
  <si>
    <t>58892a6d-5ccc-486e-8497-9ff9013eedad</t>
  </si>
  <si>
    <t>23860955</t>
  </si>
  <si>
    <t>bizup20260623213458tnXq6</t>
  </si>
  <si>
    <t>a7bbdc01-90da-44d1-8893-fc9b4d847c2a</t>
  </si>
  <si>
    <t>이지윤</t>
  </si>
  <si>
    <t>f461cb57-4449-475b-b703-c29bb4b25a28</t>
  </si>
  <si>
    <t>15139589</t>
  </si>
  <si>
    <t>bizup20260623222802qYTn3</t>
  </si>
  <si>
    <t>f25326e8-094d-4509-a23b-a18831c0faa1</t>
  </si>
  <si>
    <t>권혁진</t>
  </si>
  <si>
    <t>23f4dbef-1609-41cc-98e5-50b0e86ac3c6</t>
  </si>
  <si>
    <t>클릭 몇번에 방구석 억대매출 올린 광고중개 부업 - 광고중개사반</t>
  </si>
  <si>
    <t>55071230</t>
  </si>
  <si>
    <t>bizup20260623203900oDkB3</t>
  </si>
  <si>
    <t>2026-06-30</t>
  </si>
  <si>
    <t>01e586cf-877c-4579-8f5e-4e328736cd5e</t>
  </si>
  <si>
    <t>남서윤</t>
  </si>
  <si>
    <t>5b513d39-b50c-4f32-8e23-407925bddc25</t>
  </si>
  <si>
    <t>14411731</t>
  </si>
  <si>
    <t>bizup20260630235200V8Gy0</t>
  </si>
  <si>
    <t>5e4b9084-756e-4fea-a821-3f0c1b6183ef</t>
  </si>
  <si>
    <t>고영순</t>
  </si>
  <si>
    <t>87af1fcd-d0fd-46a6-88cf-f6e081dc17fb</t>
  </si>
  <si>
    <t>30009410</t>
  </si>
  <si>
    <t>bizup20260630224924Ztes2</t>
  </si>
  <si>
    <t>83b32be3-8fc9-4c17-961d-26236997c838</t>
  </si>
  <si>
    <t>윤수원</t>
  </si>
  <si>
    <t>b09aaf43-49ff-4c91-a34b-c8d0c89f8147</t>
  </si>
  <si>
    <t>93374190</t>
  </si>
  <si>
    <t>bizup20260630223702TIFm0</t>
  </si>
  <si>
    <t>80f78079-010c-485a-b6e1-3a3df30511cc</t>
  </si>
  <si>
    <t>조상은</t>
  </si>
  <si>
    <t>a3b407a0-4b0e-4e2d-8ac9-6f7ec0bde524</t>
  </si>
  <si>
    <t>23515710</t>
  </si>
  <si>
    <t>bizup20260630224553YOzj9</t>
  </si>
  <si>
    <t>36488c70-5ac0-4c2e-972a-19e752343b6b</t>
  </si>
  <si>
    <t>원회림</t>
  </si>
  <si>
    <t>2466007d-819c-4ce3-8be7-8e78c90df17a</t>
  </si>
  <si>
    <t>93891459</t>
  </si>
  <si>
    <t>bizup20260630224533ZsVo0</t>
  </si>
  <si>
    <t>15e475ff-beb9-40a1-9e4c-47c4a778c496</t>
  </si>
  <si>
    <t>이은혜</t>
  </si>
  <si>
    <t>bc6f029a-e076-4e87-af52-1ea364586c42</t>
  </si>
  <si>
    <t>67321771</t>
  </si>
  <si>
    <t>bizup20260630221531UNo15</t>
  </si>
  <si>
    <t>29460145-49f2-4a46-8b89-dc3f7b50c384</t>
  </si>
  <si>
    <t>변다솜</t>
  </si>
  <si>
    <t>1e3d554f-d949-4fc5-89f4-c9bf2a15325f</t>
  </si>
  <si>
    <t>23903113</t>
  </si>
  <si>
    <t>bizup202606302348202sPY4</t>
  </si>
  <si>
    <t>d6ab5b48-a34e-4edf-b51a-5698128fe7f4</t>
  </si>
  <si>
    <t>하나카드</t>
  </si>
  <si>
    <t>이선영</t>
  </si>
  <si>
    <t>c903bee0-5818-4f64-b56e-d722e5beb2cc</t>
  </si>
  <si>
    <t>01808401</t>
  </si>
  <si>
    <t>bizup20260630221804UNBW8</t>
  </si>
  <si>
    <t>54c2185c-559b-431f-afab-19820852dd93</t>
  </si>
  <si>
    <t>강민수</t>
  </si>
  <si>
    <t>d164e6dd-cfa3-4577-b049-d36d05614b50</t>
  </si>
  <si>
    <t>23285919</t>
  </si>
  <si>
    <t>bizup20260630221805XLNl7</t>
  </si>
  <si>
    <t>ae37edb0-1cca-4837-b4e4-cb2a996d2669</t>
  </si>
  <si>
    <t>허정민</t>
  </si>
  <si>
    <t>54073c26-f7f4-4dff-8e9f-f2137f322faa</t>
  </si>
  <si>
    <t>58590515</t>
  </si>
  <si>
    <t>bizup20260630221629ZqEE4</t>
  </si>
  <si>
    <t>5a13bdcc-5eaf-42f2-83ec-d664ff4bb7eb</t>
  </si>
  <si>
    <t>우소연</t>
  </si>
  <si>
    <t>ee5b54c6-f33f-4bb1-93ae-86273a874f73</t>
  </si>
  <si>
    <t>00530320</t>
  </si>
  <si>
    <t>bizup20260630230614bjFl9</t>
  </si>
  <si>
    <t>55a85de0-d5c6-4dc8-a49f-b028daee4ba1</t>
  </si>
  <si>
    <t>농협NH</t>
  </si>
  <si>
    <t>송현화</t>
  </si>
  <si>
    <t>9e389eb2-1940-4bb1-af5e-8dcfba6b5d0d</t>
  </si>
  <si>
    <t>61092927</t>
  </si>
  <si>
    <t>bizup20260630225930bj7v1</t>
  </si>
  <si>
    <t>7f19585f-caca-475a-a945-1ecf1eba9375</t>
  </si>
  <si>
    <t>이하준</t>
  </si>
  <si>
    <t>e753c2f5-3e48-4d56-b68e-14bbf1f04f20</t>
  </si>
  <si>
    <t>76102238</t>
  </si>
  <si>
    <t>bizup20260630225644TKcQ0</t>
  </si>
  <si>
    <t>02e9fe49-4b37-4789-afb1-5fb054e96bc2</t>
  </si>
  <si>
    <t>박세은</t>
  </si>
  <si>
    <t>5a2da0f8-2404-4b12-8846-bb0c172a271f</t>
  </si>
  <si>
    <t>23504906</t>
  </si>
  <si>
    <t>bizup20260630224445XNGV7</t>
  </si>
  <si>
    <t>e3585c99-2715-4c36-af17-9e1d8395778e</t>
  </si>
  <si>
    <t>손민자</t>
  </si>
  <si>
    <t>10c6654b-802f-4c8d-89e4-fede5c8b693d</t>
  </si>
  <si>
    <t>00804301</t>
  </si>
  <si>
    <t>bizup202606302241211xaB9</t>
  </si>
  <si>
    <t>808e01ca-07ef-47a8-8348-dedc07477675</t>
  </si>
  <si>
    <t>송민경</t>
  </si>
  <si>
    <t>8b5bfa45-f2b2-42f4-9263-c432ff0ee873</t>
  </si>
  <si>
    <t>83108095</t>
  </si>
  <si>
    <t>bizup20260630223354bhaR1</t>
  </si>
  <si>
    <t>90c004f6-14ea-47be-918e-fcf6ee273f2a</t>
  </si>
  <si>
    <t>우리카드</t>
  </si>
  <si>
    <t>고지언</t>
  </si>
  <si>
    <t>e548c268-a3ba-4c18-b3c8-538e060d8093</t>
  </si>
  <si>
    <t>85530198</t>
  </si>
  <si>
    <t>bizup20260630222329XMaV9</t>
  </si>
  <si>
    <t>e35ef014-52e2-46e5-bb51-1988b70deadc</t>
  </si>
  <si>
    <t>박상도</t>
  </si>
  <si>
    <t>acf26606-939a-46dc-b1f0-80bfb805cdf9</t>
  </si>
  <si>
    <t>00927300</t>
  </si>
  <si>
    <t>bizup202606302235551wKP1</t>
  </si>
  <si>
    <t>8419f710-7c39-4964-a6dd-71b2a1265a41</t>
  </si>
  <si>
    <t>김참샘</t>
  </si>
  <si>
    <t>682ef724-1616-42a9-b9c0-9e6235a64bed</t>
  </si>
  <si>
    <t>58673503</t>
  </si>
  <si>
    <t>bizup20260630223451V3lt3</t>
  </si>
  <si>
    <t>f937879f-b136-49fd-a1a5-487045d3c4d7</t>
  </si>
  <si>
    <t>김연의</t>
  </si>
  <si>
    <t>296c7d52-ee25-46b9-9576-d6cba8654086</t>
  </si>
  <si>
    <t>60970085</t>
  </si>
  <si>
    <t>bizup20260630222804bgJo8</t>
  </si>
  <si>
    <t>c07bba56-65ed-430e-b054-4ff14f6c3a82</t>
  </si>
  <si>
    <t>황현일</t>
  </si>
  <si>
    <t>971e2734-5eb9-41ef-bbee-15a3f3d253f1</t>
  </si>
  <si>
    <t>59443499</t>
  </si>
  <si>
    <t>bizup202606302233151wya6</t>
  </si>
  <si>
    <t>ae577f32-4dbd-453f-a082-1c55762b2cc5</t>
  </si>
  <si>
    <t>박정숙</t>
  </si>
  <si>
    <t>8bc18ced-7769-49d2-8524-2e9851a576f3</t>
  </si>
  <si>
    <t>30099841</t>
  </si>
  <si>
    <t>bizup20260630221950bg5Q6</t>
  </si>
  <si>
    <t>6dc2212c-e458-4b70-8ba8-d2377280da03</t>
  </si>
  <si>
    <t>임선화</t>
  </si>
  <si>
    <t>3f6f21a6-7169-4726-8d34-ca5ab5e270b7</t>
  </si>
  <si>
    <t>00639363</t>
  </si>
  <si>
    <t>bizup20260630222304YMOc4</t>
  </si>
  <si>
    <t>9.35%</t>
  </si>
  <si>
    <t>10개월</t>
  </si>
  <si>
    <t>a8fe6c0a-c433-4d8f-9944-d9bdcc32c576</t>
  </si>
  <si>
    <t>김시내</t>
  </si>
  <si>
    <t>8a5e6283-e0ff-4239-b8f6-773b4547efee</t>
  </si>
  <si>
    <t>00205816</t>
  </si>
  <si>
    <t>bizup20260630222152Zr4D5</t>
  </si>
  <si>
    <t>5826fa02-8938-47e5-8237-9d2a261c3240</t>
  </si>
  <si>
    <t>조수연</t>
  </si>
  <si>
    <t>85f8787e-38a9-485a-ab99-8c07a5aad57a</t>
  </si>
  <si>
    <t>87460929</t>
  </si>
  <si>
    <t>bizup202606302221270nAD3</t>
  </si>
  <si>
    <t>f8166401-7610-4f96-868c-0c80205a056a</t>
  </si>
  <si>
    <t>정은영</t>
  </si>
  <si>
    <t>f1a6d61f-ed1c-4dcc-b467-637ccfaac49a</t>
  </si>
  <si>
    <t>58584537</t>
  </si>
  <si>
    <t>bizup20260630221717UNyf9</t>
  </si>
  <si>
    <t>2c4acd66-1a30-4bfa-93ea-92b41ac4d6d9</t>
  </si>
  <si>
    <t>박태준</t>
  </si>
  <si>
    <t>0e3dade2-ba9d-4596-aa28-04ccafbc7beb</t>
  </si>
  <si>
    <t>30065511</t>
  </si>
  <si>
    <t>bizup20260630234243V8502</t>
  </si>
  <si>
    <t>e0329eae-a544-4a61-a6bd-6385955ddaa1</t>
  </si>
  <si>
    <t>김명희</t>
  </si>
  <si>
    <t>43068f1a-3cc5-4ce1-ba22-b2e6b76784d2</t>
  </si>
  <si>
    <t>00495247</t>
  </si>
  <si>
    <t>bizup20260630221449TGVA8</t>
  </si>
  <si>
    <t>a41ec764-b9b4-4f83-9007-4bf7533c3804</t>
  </si>
  <si>
    <t>신은영</t>
  </si>
  <si>
    <t>6b3a643d-4226-4577-b7d7-c2cd8c958b7c</t>
  </si>
  <si>
    <t>06103706</t>
  </si>
  <si>
    <t>bizup20260630232851V7be4</t>
  </si>
  <si>
    <t>0312d20d-6ef0-4da0-984d-b05b5ad6254a</t>
  </si>
  <si>
    <t>00872434</t>
  </si>
  <si>
    <t>bizup20260630223605bhkV5</t>
  </si>
  <si>
    <t>71fd792b-6929-46c4-bfdd-bb77ea7e7c4a</t>
  </si>
  <si>
    <t>윤태선</t>
  </si>
  <si>
    <t>c1b0f166-7ba5-4239-8927-2cc14df8729d</t>
  </si>
  <si>
    <t>69730295</t>
  </si>
  <si>
    <t>bizup20260630233749UTJI4</t>
  </si>
  <si>
    <t>e1a142ff-19ec-4678-baa2-d792bb3736b9</t>
  </si>
  <si>
    <t>박수진</t>
  </si>
  <si>
    <t>c3fa7c53-5285-4fff-b0f4-220e0565adf5</t>
  </si>
  <si>
    <t>00721263</t>
  </si>
  <si>
    <t>bizup20260630224925ZteB1</t>
  </si>
  <si>
    <t>62b6b3a0-abe4-4ccd-81ae-485bcb14740a</t>
  </si>
  <si>
    <t>정승헌</t>
  </si>
  <si>
    <t>ccf7b9f4-1a30-4082-a919-3a5bc8e0e4ea</t>
  </si>
  <si>
    <t>26092847</t>
  </si>
  <si>
    <t>bizup202606302242071xdX7</t>
  </si>
  <si>
    <t>65f079df-6dc5-42aa-82f2-9bfd726c446a</t>
  </si>
  <si>
    <t>장영순</t>
  </si>
  <si>
    <t>15b2be11-c437-41eb-9db1-205119f5291e</t>
  </si>
  <si>
    <t>08919304</t>
  </si>
  <si>
    <t>bizup20260630223151W5MK2</t>
  </si>
  <si>
    <t>0b848bf8-c4ae-4d58-82b7-a78d2dbb7bba</t>
  </si>
  <si>
    <t>홍경원</t>
  </si>
  <si>
    <t>b34610b2-d620-4701-a41d-f62b1c9c8fb9</t>
  </si>
  <si>
    <t>30014639</t>
  </si>
  <si>
    <t>bizup202606302242192ojl5</t>
  </si>
  <si>
    <t>2353a13c-9318-4894-83f0-bb7c63a77413</t>
  </si>
  <si>
    <t>김명기</t>
  </si>
  <si>
    <t>abd9245b-3e72-4a4a-ba9f-3c105a82426d</t>
  </si>
  <si>
    <t>42336683</t>
  </si>
  <si>
    <t>bizup202606302229332npe6</t>
  </si>
  <si>
    <t>0b6b736f-23a7-479c-b65b-08c183155eb2</t>
  </si>
  <si>
    <t>추혜윤</t>
  </si>
  <si>
    <t>7b3d80ec-3a5d-410d-8262-cb5b114c7c76</t>
  </si>
  <si>
    <t>61069556</t>
  </si>
  <si>
    <t>bizup20260630225215TJQI8</t>
  </si>
  <si>
    <t>d680a38c-551c-439e-a90f-28e48003d73e</t>
  </si>
  <si>
    <t>01213046</t>
  </si>
  <si>
    <t>bizup202606302235490oC79</t>
  </si>
  <si>
    <t>ddbca47b-d992-44ac-89f9-4145ef871f08</t>
  </si>
  <si>
    <t>04626955</t>
  </si>
  <si>
    <t>bizup20260630225249YP7v9</t>
  </si>
  <si>
    <t>10f51961-2137-439d-b180-2c837f68b491</t>
  </si>
  <si>
    <t>정미인</t>
  </si>
  <si>
    <t>7ae9169d-1e8f-4818-82c0-807f244feb7b</t>
  </si>
  <si>
    <t>41265226</t>
  </si>
  <si>
    <t>bizup20260630224915UPYS8</t>
  </si>
  <si>
    <t>f14f0568-f7ee-43be-b2ca-8cf0a5adeb1a</t>
  </si>
  <si>
    <t>백강현</t>
  </si>
  <si>
    <t>e2100722-5815-43fd-9614-242073997b75</t>
  </si>
  <si>
    <t>58691618</t>
  </si>
  <si>
    <t>bizup20260630224039bhGu2</t>
  </si>
  <si>
    <t>45960782-3cbc-4207-abce-974911a43cdd</t>
  </si>
  <si>
    <t>김연진</t>
  </si>
  <si>
    <t>bce4fbb7-43d5-4c7b-9789-aeb4854a5976</t>
  </si>
  <si>
    <t>27105918</t>
  </si>
  <si>
    <t>bizup202606302244374iyc2</t>
  </si>
  <si>
    <t>0409a5fb-59a7-46cf-9d56-9aa899b0b283</t>
  </si>
  <si>
    <t>이나원</t>
  </si>
  <si>
    <t>98c75bfa-5e9d-43ff-a365-18a2d0805da7</t>
  </si>
  <si>
    <t>30077325</t>
  </si>
  <si>
    <t>bizup202606302217412mzw0</t>
  </si>
  <si>
    <t>6010afff-5b64-45ff-a541-4bc82a4d0822</t>
  </si>
  <si>
    <t>노진희</t>
  </si>
  <si>
    <t>d86f8845-33f9-402a-9efd-96e1b2f4f508</t>
  </si>
  <si>
    <t>30013927</t>
  </si>
  <si>
    <t>bizup202606302217304gCV7</t>
  </si>
  <si>
    <t>99394eca-ab78-4bca-acd4-61f1f555a79a</t>
  </si>
  <si>
    <t>윤도현</t>
  </si>
  <si>
    <t>5e495559-7199-4325-9743-4befc3d96c4a</t>
  </si>
  <si>
    <t>03920908</t>
  </si>
  <si>
    <t>bizup20260630221431XLwl3</t>
  </si>
  <si>
    <t>265a09cd-ffdb-4f89-bdda-83ffbe151a05</t>
  </si>
  <si>
    <t>최빛나</t>
  </si>
  <si>
    <t>792d4ba1-ff77-43f6-968a-04ecfec0d826</t>
  </si>
  <si>
    <t>00495553</t>
  </si>
  <si>
    <t>bizup202606302214312mkW6</t>
  </si>
  <si>
    <t>d71d79ed-a756-4c86-b205-0ac302379d7f</t>
  </si>
  <si>
    <t>이채미</t>
  </si>
  <si>
    <t>5a16cee7-7fc2-423f-a7b8-7d37ac953d71</t>
  </si>
  <si>
    <t>12800502</t>
  </si>
  <si>
    <t>bizup20260630222738bgGZ9</t>
  </si>
  <si>
    <t>f62d3359-ccad-4ae6-a2c3-87c7df13d61f</t>
  </si>
  <si>
    <t>15705606</t>
  </si>
  <si>
    <t>bizup20260630223709ZsgY4</t>
  </si>
  <si>
    <t>9e35754f-dc2b-4b74-8bb3-098e33d14ee8</t>
  </si>
  <si>
    <t>국민</t>
  </si>
  <si>
    <t>김태우</t>
  </si>
  <si>
    <t>a69c190a-94f2-43cc-93a0-259bbc12f331</t>
  </si>
  <si>
    <t>bizup20260630223851XNhM8</t>
  </si>
  <si>
    <t>fe887ee0-5b6b-43fb-bd9a-630d16d602ac</t>
  </si>
  <si>
    <t>신한</t>
  </si>
  <si>
    <t>곽래영</t>
  </si>
  <si>
    <t>605e7423-72d8-4b06-9958-f363168c2982</t>
  </si>
  <si>
    <t>bizup20260630224333YOov9</t>
  </si>
  <si>
    <t>5a776e17-ae9d-4ab9-a6fb-4d9439631930</t>
  </si>
  <si>
    <t>KEB하나</t>
  </si>
  <si>
    <t>이미선</t>
  </si>
  <si>
    <t>c4ae7cd1-46bb-4475-8dcc-112c5d9fcd6e</t>
  </si>
  <si>
    <t>bizup202606302239550oTA2</t>
  </si>
  <si>
    <t>비즈업클래스 정산금</t>
  </si>
  <si>
    <t>Toss 강사별매출</t>
  </si>
  <si>
    <t>구분</t>
  </si>
  <si>
    <t>상세</t>
  </si>
  <si>
    <t>금액</t>
  </si>
  <si>
    <t>매출액</t>
  </si>
  <si>
    <t>총매출</t>
  </si>
  <si>
    <t>판매가</t>
  </si>
  <si>
    <t>토스매출액</t>
  </si>
  <si>
    <t>PG수수료</t>
  </si>
  <si>
    <t>토스, 카드 결제 수수료</t>
  </si>
  <si>
    <t>현금매출액</t>
  </si>
  <si>
    <t>정산기준액</t>
  </si>
  <si>
    <t>총매출 - PG수수료</t>
  </si>
  <si>
    <t>시스템노바 수수료</t>
  </si>
  <si>
    <t>정산기준액의 3% (부가세별도)</t>
  </si>
  <si>
    <t>부가서비스 이용료</t>
  </si>
  <si>
    <t>부가서비스 시트 참조</t>
  </si>
  <si>
    <t>합계</t>
  </si>
  <si>
    <t>강사명</t>
    <phoneticPr fontId="3" type="noConversion"/>
  </si>
  <si>
    <t>김해준</t>
    <phoneticPr fontId="3" type="noConversion"/>
  </si>
  <si>
    <t>투인컴</t>
    <phoneticPr fontId="3" type="noConversion"/>
  </si>
  <si>
    <t>비즈업클래스 6월 매출 요약</t>
    <phoneticPr fontId="3" type="noConversion"/>
  </si>
  <si>
    <t>엘플랑x두뜬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</si>
</sst>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-* #,##0.0_-;\-* #,##0.0_-;_-* &quot;-&quot;?_-;_-@_-"/>
    <numFmt numFmtId="177" formatCode="#,###"/>
    <numFmt numFmtId="178" formatCode="0.0%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137D58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41" fontId="2" fillId="0" borderId="3" xfId="2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41" fontId="8" fillId="0" borderId="3" xfId="2" applyFont="1" applyFill="1" applyBorder="1">
      <alignment vertical="center"/>
    </xf>
    <xf numFmtId="41" fontId="1" fillId="0" borderId="0" xfId="2" applyFill="1">
      <alignment vertical="center"/>
    </xf>
    <xf numFmtId="0" fontId="2" fillId="0" borderId="1" xfId="1" applyFont="1" applyBorder="1" applyAlignment="1">
      <alignment horizontal="left" vertical="center" indent="1"/>
    </xf>
    <xf numFmtId="176" fontId="1" fillId="0" borderId="0" xfId="1" applyNumberFormat="1">
      <alignment vertical="center"/>
    </xf>
    <xf numFmtId="41" fontId="2" fillId="0" borderId="3" xfId="2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41" fontId="2" fillId="0" borderId="6" xfId="2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41" fontId="6" fillId="3" borderId="6" xfId="1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41" fontId="10" fillId="0" borderId="3" xfId="1" applyNumberFormat="1" applyFont="1" applyBorder="1">
      <alignment vertical="center"/>
    </xf>
    <xf numFmtId="0" fontId="8" fillId="0" borderId="0" xfId="1" applyFont="1">
      <alignment vertical="center"/>
    </xf>
    <xf numFmtId="41" fontId="8" fillId="0" borderId="0" xfId="1" applyNumberFormat="1" applyFont="1">
      <alignment vertical="center"/>
    </xf>
    <xf numFmtId="0" fontId="11" fillId="4" borderId="2" xfId="1" applyFont="1" applyFill="1" applyBorder="1">
      <alignment vertical="center"/>
    </xf>
    <xf numFmtId="0" fontId="11" fillId="5" borderId="2" xfId="2" applyNumberFormat="1" applyFont="1" applyFill="1" applyBorder="1" applyAlignment="1">
      <alignment vertical="center"/>
    </xf>
    <xf numFmtId="177" fontId="8" fillId="0" borderId="0" xfId="1" applyNumberFormat="1" applyFont="1" applyAlignment="1"/>
    <xf numFmtId="10" fontId="8" fillId="0" borderId="0" xfId="2" applyNumberFormat="1" applyFont="1">
      <alignment vertical="center"/>
    </xf>
    <xf numFmtId="41" fontId="8" fillId="0" borderId="0" xfId="2" applyFont="1">
      <alignment vertical="center"/>
    </xf>
    <xf numFmtId="178" fontId="8" fillId="0" borderId="0" xfId="3" applyNumberFormat="1" applyFont="1">
      <alignment vertical="center"/>
    </xf>
    <xf numFmtId="0" fontId="12" fillId="0" borderId="0" xfId="1" applyFont="1">
      <alignment vertical="center"/>
    </xf>
    <xf numFmtId="49" fontId="12" fillId="0" borderId="0" xfId="1" applyNumberFormat="1" applyFont="1">
      <alignment vertical="center"/>
    </xf>
    <xf numFmtId="41" fontId="12" fillId="0" borderId="0" xfId="2" applyFont="1">
      <alignment vertical="center"/>
    </xf>
    <xf numFmtId="14" fontId="8" fillId="0" borderId="0" xfId="1" applyNumberFormat="1" applyFont="1">
      <alignment vertical="center"/>
    </xf>
    <xf numFmtId="41" fontId="8" fillId="0" borderId="0" xfId="2" applyFont="1" applyAlignment="1"/>
    <xf numFmtId="14" fontId="12" fillId="0" borderId="0" xfId="1" applyNumberFormat="1" applyFont="1">
      <alignment vertical="center"/>
    </xf>
    <xf numFmtId="0" fontId="12" fillId="0" borderId="0" xfId="2" applyNumberFormat="1" applyFont="1">
      <alignment vertical="center"/>
    </xf>
    <xf numFmtId="0" fontId="8" fillId="0" borderId="0" xfId="2" applyNumberFormat="1" applyFont="1" applyAlignment="1"/>
    <xf numFmtId="14" fontId="12" fillId="0" borderId="0" xfId="2" applyNumberFormat="1" applyFont="1">
      <alignment vertical="center"/>
    </xf>
    <xf numFmtId="41" fontId="12" fillId="0" borderId="0" xfId="1" applyNumberFormat="1" applyFont="1">
      <alignment vertical="center"/>
    </xf>
    <xf numFmtId="41" fontId="1" fillId="0" borderId="0" xfId="1" applyNumberFormat="1">
      <alignment vertical="center"/>
    </xf>
    <xf numFmtId="3" fontId="13" fillId="0" borderId="0" xfId="0" applyNumberFormat="1" applyFont="1">
      <alignment vertical="center"/>
    </xf>
    <xf numFmtId="43" fontId="1" fillId="0" borderId="0" xfId="1" applyNumberFormat="1">
      <alignment vertical="center"/>
    </xf>
  </cellXfs>
  <cellStyles count="4">
    <cellStyle name="백분율 2" xfId="3" xr:uid="{90E82EB3-8846-4842-B099-996A6CEA2E28}"/>
    <cellStyle name="쉼표 [0] 2" xfId="2" xr:uid="{0DFFAF1F-ED58-4477-AC9F-7971EC5ADCA7}"/>
    <cellStyle name="표준" xfId="0" builtinId="0"/>
    <cellStyle name="표준 2" xfId="1" xr:uid="{CABED666-9E99-48FB-BB3A-0FAB1B09C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DA64-F5F6-49B6-840F-FE23A8B21D39}">
  <sheetPr>
    <tabColor rgb="FFFFC000"/>
  </sheetPr>
  <dimension ref="A1:R19"/>
  <sheetViews>
    <sheetView showGridLines="0" workbookViewId="0">
      <selection activeCell="D19" sqref="D19"/>
    </sheetView>
  </sheetViews>
  <sheetFormatPr defaultColWidth="9" defaultRowHeight="16.5" x14ac:dyDescent="0.3"/>
  <cols>
    <col min="1" max="1" width="2.625" style="2" customWidth="1"/>
    <col min="2" max="3" width="30.625" style="2" customWidth="1"/>
    <col min="4" max="4" width="12.625" style="2" customWidth="1"/>
    <col min="5" max="5" width="9" style="2"/>
    <col min="6" max="7" width="12.625" style="2" customWidth="1"/>
    <col min="8" max="14" width="9" style="2"/>
    <col min="15" max="15" width="11.625" style="2" bestFit="1" customWidth="1"/>
    <col min="16" max="17" width="9" style="2"/>
    <col min="18" max="18" width="13.5" style="2" bestFit="1" customWidth="1"/>
    <col min="19" max="16384" width="9" style="2"/>
  </cols>
  <sheetData>
    <row r="1" spans="1:18" x14ac:dyDescent="0.3">
      <c r="A1" s="1"/>
      <c r="B1" s="1"/>
      <c r="C1" s="1"/>
      <c r="D1" s="1"/>
    </row>
    <row r="2" spans="1:18" ht="17.25" x14ac:dyDescent="0.3">
      <c r="A2" s="1"/>
      <c r="B2" s="3" t="s">
        <v>434</v>
      </c>
      <c r="C2" s="3"/>
      <c r="D2" s="1"/>
      <c r="F2" s="3" t="s">
        <v>413</v>
      </c>
    </row>
    <row r="3" spans="1:18" x14ac:dyDescent="0.3">
      <c r="A3" s="1"/>
      <c r="B3" s="4" t="s">
        <v>414</v>
      </c>
      <c r="C3" s="5" t="s">
        <v>415</v>
      </c>
      <c r="D3" s="6" t="s">
        <v>416</v>
      </c>
      <c r="F3" s="7" t="s">
        <v>31</v>
      </c>
      <c r="G3" s="7" t="s">
        <v>417</v>
      </c>
    </row>
    <row r="4" spans="1:18" x14ac:dyDescent="0.3">
      <c r="A4" s="1"/>
      <c r="B4" s="8" t="s">
        <v>418</v>
      </c>
      <c r="C4" s="9" t="s">
        <v>419</v>
      </c>
      <c r="D4" s="10">
        <v>156083300</v>
      </c>
      <c r="F4" s="11" t="s">
        <v>39</v>
      </c>
      <c r="G4" s="12">
        <v>155230000</v>
      </c>
      <c r="R4" s="13"/>
    </row>
    <row r="5" spans="1:18" x14ac:dyDescent="0.3">
      <c r="A5" s="1"/>
      <c r="B5" s="14" t="s">
        <v>420</v>
      </c>
      <c r="C5" s="9" t="s">
        <v>419</v>
      </c>
      <c r="D5" s="10">
        <v>149103300</v>
      </c>
      <c r="F5" s="11" t="s">
        <v>93</v>
      </c>
      <c r="G5" s="12">
        <v>-244300</v>
      </c>
      <c r="O5" s="44">
        <v>143953856</v>
      </c>
      <c r="R5" s="13"/>
    </row>
    <row r="6" spans="1:18" x14ac:dyDescent="0.3">
      <c r="A6" s="1"/>
      <c r="B6" s="14" t="s">
        <v>421</v>
      </c>
      <c r="C6" s="9" t="s">
        <v>422</v>
      </c>
      <c r="D6" s="10">
        <v>10746305</v>
      </c>
      <c r="F6" s="11" t="s">
        <v>59</v>
      </c>
      <c r="G6" s="12">
        <v>-5882400</v>
      </c>
      <c r="O6" s="44">
        <v>-296818</v>
      </c>
      <c r="R6" s="13"/>
    </row>
    <row r="7" spans="1:18" x14ac:dyDescent="0.3">
      <c r="A7" s="1"/>
      <c r="B7" s="8" t="s">
        <v>423</v>
      </c>
      <c r="C7" s="9" t="s">
        <v>419</v>
      </c>
      <c r="D7" s="10">
        <v>6980000</v>
      </c>
      <c r="F7" s="11" t="s">
        <v>142</v>
      </c>
      <c r="G7" s="12">
        <v>0</v>
      </c>
      <c r="O7" s="44">
        <v>-5300043</v>
      </c>
      <c r="R7" s="13"/>
    </row>
    <row r="8" spans="1:18" x14ac:dyDescent="0.3">
      <c r="A8" s="1"/>
      <c r="B8" s="8" t="s">
        <v>424</v>
      </c>
      <c r="C8" s="9" t="s">
        <v>425</v>
      </c>
      <c r="D8" s="10">
        <v>145336995</v>
      </c>
      <c r="F8" s="11"/>
      <c r="G8" s="12">
        <v>0</v>
      </c>
      <c r="O8" s="2">
        <f>O5+O6+O7</f>
        <v>138356995</v>
      </c>
      <c r="R8" s="13"/>
    </row>
    <row r="9" spans="1:18" x14ac:dyDescent="0.3">
      <c r="A9" s="1"/>
      <c r="B9" s="1"/>
      <c r="C9" s="1"/>
      <c r="D9" s="1"/>
      <c r="F9" s="11"/>
      <c r="G9" s="12">
        <v>0</v>
      </c>
      <c r="R9" s="15"/>
    </row>
    <row r="10" spans="1:18" x14ac:dyDescent="0.3">
      <c r="A10" s="1"/>
      <c r="B10" s="4" t="s">
        <v>414</v>
      </c>
      <c r="C10" s="5" t="s">
        <v>415</v>
      </c>
      <c r="D10" s="6" t="s">
        <v>416</v>
      </c>
      <c r="F10" s="11"/>
      <c r="G10" s="12">
        <v>0</v>
      </c>
    </row>
    <row r="11" spans="1:18" x14ac:dyDescent="0.3">
      <c r="A11" s="1"/>
      <c r="B11" s="8" t="s">
        <v>426</v>
      </c>
      <c r="C11" s="9" t="s">
        <v>427</v>
      </c>
      <c r="D11" s="16">
        <v>4796120.835</v>
      </c>
      <c r="F11" s="11"/>
      <c r="G11" s="12">
        <v>0</v>
      </c>
    </row>
    <row r="12" spans="1:18" ht="17.25" thickBot="1" x14ac:dyDescent="0.35">
      <c r="A12" s="1"/>
      <c r="B12" s="17" t="s">
        <v>428</v>
      </c>
      <c r="C12" s="18" t="s">
        <v>429</v>
      </c>
      <c r="D12" s="19">
        <v>1540000</v>
      </c>
      <c r="F12" s="11"/>
      <c r="G12" s="12">
        <v>0</v>
      </c>
    </row>
    <row r="13" spans="1:18" ht="17.25" thickBot="1" x14ac:dyDescent="0.35">
      <c r="A13" s="1"/>
      <c r="B13" s="20" t="s">
        <v>412</v>
      </c>
      <c r="C13" s="21"/>
      <c r="D13" s="22">
        <v>132020874.16499999</v>
      </c>
      <c r="F13" s="23" t="s">
        <v>430</v>
      </c>
      <c r="G13" s="24">
        <v>149103300</v>
      </c>
    </row>
    <row r="14" spans="1:18" x14ac:dyDescent="0.3">
      <c r="A14" s="1"/>
      <c r="B14" s="1"/>
      <c r="C14" s="1"/>
      <c r="D14" s="1"/>
      <c r="F14" s="25"/>
      <c r="G14" s="26"/>
    </row>
    <row r="17" spans="3:4" x14ac:dyDescent="0.3">
      <c r="C17" s="43">
        <f>D5-D6+D7</f>
        <v>145336995</v>
      </c>
    </row>
    <row r="19" spans="3:4" x14ac:dyDescent="0.3">
      <c r="D19" s="45">
        <f>D8*3%</f>
        <v>4360109.8499999996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5196-3F06-4069-BE9E-5D976CFDB72B}">
  <sheetPr>
    <tabColor rgb="FFFFC000"/>
  </sheetPr>
  <dimension ref="A1:V176"/>
  <sheetViews>
    <sheetView tabSelected="1" topLeftCell="B1" zoomScaleNormal="100" workbookViewId="0">
      <pane ySplit="1" topLeftCell="A2" activePane="bottomLeft" state="frozen"/>
      <selection pane="bottomLeft" activeCell="O13" sqref="O13"/>
    </sheetView>
  </sheetViews>
  <sheetFormatPr defaultColWidth="9" defaultRowHeight="13.5" x14ac:dyDescent="0.3"/>
  <cols>
    <col min="1" max="1" width="16.625" style="25" bestFit="1" customWidth="1"/>
    <col min="2" max="2" width="9.625" style="25" bestFit="1" customWidth="1"/>
    <col min="3" max="3" width="12.375" style="25" bestFit="1" customWidth="1"/>
    <col min="4" max="4" width="13.375" style="25" bestFit="1" customWidth="1"/>
    <col min="5" max="5" width="35.625" style="25" bestFit="1" customWidth="1"/>
    <col min="6" max="6" width="11.625" style="25" bestFit="1" customWidth="1"/>
    <col min="7" max="8" width="10" style="25" bestFit="1" customWidth="1"/>
    <col min="9" max="9" width="18.125" style="25" bestFit="1" customWidth="1"/>
    <col min="10" max="10" width="35.625" style="25" bestFit="1" customWidth="1"/>
    <col min="11" max="11" width="15.375" style="25" bestFit="1" customWidth="1"/>
    <col min="12" max="12" width="13.5" style="25" bestFit="1" customWidth="1"/>
    <col min="13" max="13" width="13.5" style="25" customWidth="1"/>
    <col min="14" max="14" width="10.5" style="25" bestFit="1" customWidth="1"/>
    <col min="15" max="15" width="22.5" style="25" bestFit="1" customWidth="1"/>
    <col min="16" max="16" width="14.125" style="25" bestFit="1" customWidth="1"/>
    <col min="17" max="17" width="105.125" style="25" bestFit="1" customWidth="1"/>
    <col min="18" max="18" width="14.125" style="25" bestFit="1" customWidth="1"/>
    <col min="19" max="19" width="25.625" style="25" bestFit="1" customWidth="1"/>
    <col min="20" max="20" width="13.625" style="25" bestFit="1" customWidth="1"/>
    <col min="21" max="21" width="13.375" style="25" bestFit="1" customWidth="1"/>
    <col min="22" max="22" width="11.625" style="25" bestFit="1" customWidth="1"/>
    <col min="23" max="16384" width="9" style="25"/>
  </cols>
  <sheetData>
    <row r="1" spans="1:22" x14ac:dyDescent="0.3">
      <c r="A1" s="27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7" t="s">
        <v>19</v>
      </c>
      <c r="T1" s="27" t="s">
        <v>20</v>
      </c>
      <c r="U1" s="28" t="s">
        <v>21</v>
      </c>
      <c r="V1" s="28" t="s">
        <v>22</v>
      </c>
    </row>
    <row r="2" spans="1:22" x14ac:dyDescent="0.25">
      <c r="A2" s="25" t="s">
        <v>0</v>
      </c>
      <c r="B2" s="25" t="s">
        <v>47</v>
      </c>
      <c r="C2" s="25" t="s">
        <v>47</v>
      </c>
      <c r="D2" s="25" t="s">
        <v>48</v>
      </c>
      <c r="E2" s="25" t="s">
        <v>49</v>
      </c>
      <c r="F2" s="25" t="s">
        <v>50</v>
      </c>
      <c r="G2" s="25" t="s">
        <v>51</v>
      </c>
      <c r="H2" s="25" t="s">
        <v>52</v>
      </c>
      <c r="I2" s="25" t="s">
        <v>53</v>
      </c>
      <c r="J2" s="25" t="s">
        <v>54</v>
      </c>
      <c r="K2" s="29">
        <v>-1526700</v>
      </c>
      <c r="L2" s="29">
        <v>-151143</v>
      </c>
      <c r="M2" s="29">
        <v>-137402.72727272726</v>
      </c>
      <c r="N2" s="29">
        <v>-13740.272727272735</v>
      </c>
      <c r="O2" s="29">
        <v>-1375557</v>
      </c>
      <c r="P2" s="25" t="s">
        <v>55</v>
      </c>
      <c r="Q2" s="25" t="s">
        <v>56</v>
      </c>
      <c r="R2" s="25" t="s">
        <v>57</v>
      </c>
      <c r="S2" s="25" t="s">
        <v>58</v>
      </c>
      <c r="T2" s="25" t="s">
        <v>59</v>
      </c>
      <c r="U2" s="30" t="s">
        <v>60</v>
      </c>
      <c r="V2" s="25" t="s">
        <v>61</v>
      </c>
    </row>
    <row r="3" spans="1:22" x14ac:dyDescent="0.25">
      <c r="A3" s="25" t="s">
        <v>0</v>
      </c>
      <c r="B3" s="25" t="s">
        <v>62</v>
      </c>
      <c r="C3" s="25" t="s">
        <v>62</v>
      </c>
      <c r="D3" s="25" t="s">
        <v>48</v>
      </c>
      <c r="E3" s="25" t="s">
        <v>63</v>
      </c>
      <c r="F3" s="25" t="s">
        <v>50</v>
      </c>
      <c r="G3" s="25" t="s">
        <v>64</v>
      </c>
      <c r="H3" s="25" t="s">
        <v>65</v>
      </c>
      <c r="I3" s="25" t="s">
        <v>66</v>
      </c>
      <c r="J3" s="25" t="s">
        <v>67</v>
      </c>
      <c r="K3" s="29">
        <v>-2290000</v>
      </c>
      <c r="L3" s="29">
        <v>-226710</v>
      </c>
      <c r="M3" s="29">
        <v>-206099.99999999997</v>
      </c>
      <c r="N3" s="29">
        <v>-20610.000000000029</v>
      </c>
      <c r="O3" s="29">
        <v>-2063290</v>
      </c>
      <c r="P3" s="25" t="s">
        <v>68</v>
      </c>
      <c r="Q3" s="25" t="s">
        <v>56</v>
      </c>
      <c r="R3" s="25" t="s">
        <v>69</v>
      </c>
      <c r="S3" s="25" t="s">
        <v>70</v>
      </c>
      <c r="T3" s="25" t="s">
        <v>59</v>
      </c>
      <c r="U3" s="30" t="s">
        <v>60</v>
      </c>
      <c r="V3" s="25" t="s">
        <v>61</v>
      </c>
    </row>
    <row r="4" spans="1:22" x14ac:dyDescent="0.25">
      <c r="A4" s="25" t="s">
        <v>0</v>
      </c>
      <c r="B4" s="25" t="s">
        <v>71</v>
      </c>
      <c r="C4" s="25" t="s">
        <v>71</v>
      </c>
      <c r="D4" s="25" t="s">
        <v>48</v>
      </c>
      <c r="E4" s="25" t="s">
        <v>72</v>
      </c>
      <c r="F4" s="25" t="s">
        <v>50</v>
      </c>
      <c r="G4" s="25" t="s">
        <v>51</v>
      </c>
      <c r="H4" s="25" t="s">
        <v>52</v>
      </c>
      <c r="I4" s="25" t="s">
        <v>73</v>
      </c>
      <c r="J4" s="25" t="s">
        <v>74</v>
      </c>
      <c r="K4" s="29">
        <v>-381743</v>
      </c>
      <c r="L4" s="29">
        <v>-37793</v>
      </c>
      <c r="M4" s="29">
        <v>-34357.272727272728</v>
      </c>
      <c r="N4" s="29">
        <v>-3435.7272727272721</v>
      </c>
      <c r="O4" s="29">
        <v>-343950</v>
      </c>
      <c r="P4" s="25" t="s">
        <v>55</v>
      </c>
      <c r="Q4" s="25" t="s">
        <v>56</v>
      </c>
      <c r="R4" s="25" t="s">
        <v>75</v>
      </c>
      <c r="S4" s="25" t="s">
        <v>76</v>
      </c>
      <c r="T4" s="25" t="s">
        <v>59</v>
      </c>
      <c r="U4" s="31" t="s">
        <v>60</v>
      </c>
      <c r="V4" s="25" t="s">
        <v>61</v>
      </c>
    </row>
    <row r="5" spans="1:22" x14ac:dyDescent="0.25">
      <c r="A5" s="25" t="s">
        <v>0</v>
      </c>
      <c r="B5" s="25" t="s">
        <v>71</v>
      </c>
      <c r="C5" s="25" t="s">
        <v>71</v>
      </c>
      <c r="D5" s="25" t="s">
        <v>48</v>
      </c>
      <c r="E5" s="25" t="s">
        <v>72</v>
      </c>
      <c r="F5" s="25" t="s">
        <v>50</v>
      </c>
      <c r="G5" s="25" t="s">
        <v>51</v>
      </c>
      <c r="H5" s="25" t="s">
        <v>52</v>
      </c>
      <c r="I5" s="25" t="s">
        <v>73</v>
      </c>
      <c r="J5" s="25" t="s">
        <v>74</v>
      </c>
      <c r="K5" s="29">
        <v>-763257</v>
      </c>
      <c r="L5" s="29">
        <v>-75562</v>
      </c>
      <c r="M5" s="29">
        <v>-68692.727272727265</v>
      </c>
      <c r="N5" s="29">
        <v>-6869.2727272727352</v>
      </c>
      <c r="O5" s="29">
        <v>-687695</v>
      </c>
      <c r="P5" s="25" t="s">
        <v>55</v>
      </c>
      <c r="Q5" s="25" t="s">
        <v>56</v>
      </c>
      <c r="R5" s="25" t="s">
        <v>75</v>
      </c>
      <c r="S5" s="25" t="s">
        <v>76</v>
      </c>
      <c r="T5" s="25" t="s">
        <v>59</v>
      </c>
      <c r="U5" s="30" t="s">
        <v>60</v>
      </c>
      <c r="V5" s="25" t="s">
        <v>61</v>
      </c>
    </row>
    <row r="6" spans="1:22" x14ac:dyDescent="0.25">
      <c r="A6" s="25" t="s">
        <v>0</v>
      </c>
      <c r="B6" s="25" t="s">
        <v>71</v>
      </c>
      <c r="C6" s="25" t="s">
        <v>71</v>
      </c>
      <c r="D6" s="25" t="s">
        <v>48</v>
      </c>
      <c r="E6" s="25" t="s">
        <v>77</v>
      </c>
      <c r="F6" s="25" t="s">
        <v>50</v>
      </c>
      <c r="G6" s="25" t="s">
        <v>51</v>
      </c>
      <c r="H6" s="25" t="s">
        <v>78</v>
      </c>
      <c r="I6" s="25" t="s">
        <v>79</v>
      </c>
      <c r="J6" s="25" t="s">
        <v>80</v>
      </c>
      <c r="K6" s="29">
        <v>-920700</v>
      </c>
      <c r="L6" s="29">
        <v>-91149</v>
      </c>
      <c r="M6" s="29">
        <v>-82862.727272727265</v>
      </c>
      <c r="N6" s="29">
        <v>-8286.2727272727352</v>
      </c>
      <c r="O6" s="29">
        <v>-829551</v>
      </c>
      <c r="P6" s="25" t="s">
        <v>55</v>
      </c>
      <c r="Q6" s="25" t="s">
        <v>81</v>
      </c>
      <c r="R6" s="25" t="s">
        <v>82</v>
      </c>
      <c r="S6" s="25" t="s">
        <v>83</v>
      </c>
      <c r="T6" s="25" t="s">
        <v>59</v>
      </c>
      <c r="U6" s="30" t="s">
        <v>60</v>
      </c>
      <c r="V6" s="25" t="s">
        <v>61</v>
      </c>
    </row>
    <row r="7" spans="1:22" x14ac:dyDescent="0.25">
      <c r="A7" s="25" t="s">
        <v>0</v>
      </c>
      <c r="B7" s="25" t="s">
        <v>84</v>
      </c>
      <c r="C7" s="25" t="s">
        <v>84</v>
      </c>
      <c r="D7" s="25" t="s">
        <v>85</v>
      </c>
      <c r="E7" s="25" t="s">
        <v>86</v>
      </c>
      <c r="F7" s="25" t="s">
        <v>50</v>
      </c>
      <c r="G7" s="25" t="s">
        <v>51</v>
      </c>
      <c r="H7" s="25" t="s">
        <v>87</v>
      </c>
      <c r="I7" s="25" t="s">
        <v>88</v>
      </c>
      <c r="J7" s="25" t="s">
        <v>89</v>
      </c>
      <c r="K7" s="29">
        <v>-174300</v>
      </c>
      <c r="L7" s="29">
        <v>-5177</v>
      </c>
      <c r="M7" s="29">
        <v>-4706.363636363636</v>
      </c>
      <c r="N7" s="29">
        <v>-470.63636363636397</v>
      </c>
      <c r="O7" s="29">
        <v>-169123</v>
      </c>
      <c r="P7" s="32" t="s">
        <v>55</v>
      </c>
      <c r="Q7" s="25" t="s">
        <v>90</v>
      </c>
      <c r="R7" s="25" t="s">
        <v>91</v>
      </c>
      <c r="S7" s="25" t="s">
        <v>92</v>
      </c>
      <c r="T7" s="25" t="s">
        <v>435</v>
      </c>
      <c r="U7" s="25" t="s">
        <v>94</v>
      </c>
      <c r="V7" s="25" t="s">
        <v>95</v>
      </c>
    </row>
    <row r="8" spans="1:22" x14ac:dyDescent="0.25">
      <c r="A8" s="25" t="s">
        <v>0</v>
      </c>
      <c r="B8" s="25" t="s">
        <v>96</v>
      </c>
      <c r="C8" s="25" t="s">
        <v>96</v>
      </c>
      <c r="D8" s="25" t="s">
        <v>85</v>
      </c>
      <c r="E8" s="25" t="s">
        <v>86</v>
      </c>
      <c r="F8" s="25" t="s">
        <v>50</v>
      </c>
      <c r="G8" s="25" t="s">
        <v>51</v>
      </c>
      <c r="H8" s="25" t="s">
        <v>87</v>
      </c>
      <c r="I8" s="25" t="s">
        <v>88</v>
      </c>
      <c r="J8" s="25" t="s">
        <v>89</v>
      </c>
      <c r="K8" s="29">
        <v>-1860000</v>
      </c>
      <c r="L8" s="29">
        <v>-55242</v>
      </c>
      <c r="M8" s="29">
        <v>-50219.999999999993</v>
      </c>
      <c r="N8" s="29">
        <v>-5022.0000000000073</v>
      </c>
      <c r="O8" s="29">
        <v>-1804758</v>
      </c>
      <c r="P8" s="25" t="s">
        <v>55</v>
      </c>
      <c r="Q8" s="25" t="s">
        <v>90</v>
      </c>
      <c r="R8" s="25" t="s">
        <v>91</v>
      </c>
      <c r="S8" s="25" t="s">
        <v>92</v>
      </c>
      <c r="T8" s="25" t="s">
        <v>435</v>
      </c>
      <c r="U8" s="25" t="s">
        <v>94</v>
      </c>
      <c r="V8" s="25" t="s">
        <v>95</v>
      </c>
    </row>
    <row r="9" spans="1:22" x14ac:dyDescent="0.25">
      <c r="A9" s="25" t="s">
        <v>0</v>
      </c>
      <c r="B9" s="25" t="s">
        <v>71</v>
      </c>
      <c r="C9" s="25" t="s">
        <v>71</v>
      </c>
      <c r="D9" s="25" t="s">
        <v>85</v>
      </c>
      <c r="E9" s="25" t="s">
        <v>97</v>
      </c>
      <c r="F9" s="25" t="s">
        <v>50</v>
      </c>
      <c r="G9" s="25" t="s">
        <v>64</v>
      </c>
      <c r="H9" s="25" t="s">
        <v>98</v>
      </c>
      <c r="I9" s="25" t="s">
        <v>99</v>
      </c>
      <c r="J9" s="25" t="s">
        <v>100</v>
      </c>
      <c r="K9" s="29">
        <v>-2790000</v>
      </c>
      <c r="L9" s="29">
        <v>-174933</v>
      </c>
      <c r="M9" s="29">
        <v>-159030</v>
      </c>
      <c r="N9" s="29">
        <v>-15903</v>
      </c>
      <c r="O9" s="29">
        <v>-2615067</v>
      </c>
      <c r="P9" s="25" t="s">
        <v>68</v>
      </c>
      <c r="Q9" s="25" t="s">
        <v>90</v>
      </c>
      <c r="R9" s="25" t="s">
        <v>101</v>
      </c>
      <c r="S9" s="25" t="s">
        <v>102</v>
      </c>
      <c r="T9" s="25" t="s">
        <v>435</v>
      </c>
      <c r="U9" s="25" t="s">
        <v>103</v>
      </c>
      <c r="V9" s="25" t="s">
        <v>104</v>
      </c>
    </row>
    <row r="10" spans="1:22" x14ac:dyDescent="0.25">
      <c r="A10" s="25" t="s">
        <v>0</v>
      </c>
      <c r="B10" s="25" t="s">
        <v>105</v>
      </c>
      <c r="C10" s="25" t="s">
        <v>105</v>
      </c>
      <c r="D10" s="25" t="s">
        <v>106</v>
      </c>
      <c r="E10" s="25" t="s">
        <v>107</v>
      </c>
      <c r="F10" s="25" t="s">
        <v>50</v>
      </c>
      <c r="G10" s="25" t="s">
        <v>64</v>
      </c>
      <c r="H10" s="25" t="s">
        <v>52</v>
      </c>
      <c r="I10" s="25" t="s">
        <v>108</v>
      </c>
      <c r="J10" s="25" t="s">
        <v>109</v>
      </c>
      <c r="K10" s="29">
        <v>-2790000</v>
      </c>
      <c r="L10" s="29">
        <v>-82863</v>
      </c>
      <c r="M10" s="29">
        <v>-75330</v>
      </c>
      <c r="N10" s="29">
        <v>-7533</v>
      </c>
      <c r="O10" s="29">
        <v>-2707137</v>
      </c>
      <c r="P10" s="25" t="s">
        <v>68</v>
      </c>
      <c r="Q10" s="25" t="s">
        <v>90</v>
      </c>
      <c r="R10" s="25" t="s">
        <v>110</v>
      </c>
      <c r="S10" s="25" t="s">
        <v>111</v>
      </c>
      <c r="T10" s="25" t="s">
        <v>435</v>
      </c>
      <c r="U10" s="25" t="s">
        <v>94</v>
      </c>
      <c r="V10" s="25" t="s">
        <v>95</v>
      </c>
    </row>
    <row r="11" spans="1:22" x14ac:dyDescent="0.25">
      <c r="A11" s="25" t="s">
        <v>0</v>
      </c>
      <c r="B11" s="25" t="s">
        <v>71</v>
      </c>
      <c r="C11" s="25" t="s">
        <v>71</v>
      </c>
      <c r="D11" s="25" t="s">
        <v>71</v>
      </c>
      <c r="E11" s="25" t="s">
        <v>112</v>
      </c>
      <c r="F11" s="25" t="s">
        <v>50</v>
      </c>
      <c r="G11" s="25" t="s">
        <v>113</v>
      </c>
      <c r="H11" s="25" t="s">
        <v>98</v>
      </c>
      <c r="I11" s="25" t="s">
        <v>114</v>
      </c>
      <c r="J11" s="25" t="s">
        <v>115</v>
      </c>
      <c r="K11" s="29">
        <v>2290000</v>
      </c>
      <c r="L11" s="29">
        <v>226710</v>
      </c>
      <c r="M11" s="29">
        <v>206099.99999999997</v>
      </c>
      <c r="N11" s="29">
        <v>20610.000000000029</v>
      </c>
      <c r="O11" s="29">
        <v>2063290</v>
      </c>
      <c r="P11" s="32" t="s">
        <v>116</v>
      </c>
      <c r="Q11" s="25" t="s">
        <v>117</v>
      </c>
      <c r="R11" s="25" t="s">
        <v>118</v>
      </c>
      <c r="S11" s="25" t="s">
        <v>119</v>
      </c>
      <c r="T11" s="25" t="s">
        <v>435</v>
      </c>
      <c r="U11" s="25" t="s">
        <v>60</v>
      </c>
      <c r="V11" s="25" t="s">
        <v>61</v>
      </c>
    </row>
    <row r="12" spans="1:22" x14ac:dyDescent="0.25">
      <c r="A12" s="25" t="s">
        <v>0</v>
      </c>
      <c r="B12" s="25" t="s">
        <v>71</v>
      </c>
      <c r="C12" s="25" t="s">
        <v>71</v>
      </c>
      <c r="D12" s="25" t="s">
        <v>71</v>
      </c>
      <c r="E12" s="25" t="s">
        <v>120</v>
      </c>
      <c r="F12" s="25" t="s">
        <v>50</v>
      </c>
      <c r="G12" s="25" t="s">
        <v>113</v>
      </c>
      <c r="H12" s="25" t="s">
        <v>121</v>
      </c>
      <c r="I12" s="25" t="s">
        <v>122</v>
      </c>
      <c r="J12" s="25" t="s">
        <v>123</v>
      </c>
      <c r="K12" s="29">
        <v>2290000</v>
      </c>
      <c r="L12" s="29">
        <v>143583</v>
      </c>
      <c r="M12" s="29">
        <v>130529.99999999999</v>
      </c>
      <c r="N12" s="29">
        <v>13053.000000000015</v>
      </c>
      <c r="O12" s="29">
        <v>2146417</v>
      </c>
      <c r="P12" s="25" t="s">
        <v>116</v>
      </c>
      <c r="Q12" s="25" t="s">
        <v>117</v>
      </c>
      <c r="R12" s="25" t="s">
        <v>124</v>
      </c>
      <c r="S12" s="25" t="s">
        <v>125</v>
      </c>
      <c r="T12" s="25" t="s">
        <v>435</v>
      </c>
      <c r="U12" s="25" t="s">
        <v>103</v>
      </c>
      <c r="V12" s="25" t="s">
        <v>104</v>
      </c>
    </row>
    <row r="13" spans="1:22" x14ac:dyDescent="0.25">
      <c r="A13" s="25" t="s">
        <v>0</v>
      </c>
      <c r="B13" s="25" t="s">
        <v>126</v>
      </c>
      <c r="C13" s="25" t="s">
        <v>126</v>
      </c>
      <c r="D13" s="25" t="s">
        <v>126</v>
      </c>
      <c r="E13" s="25" t="s">
        <v>127</v>
      </c>
      <c r="F13" s="25" t="s">
        <v>128</v>
      </c>
      <c r="G13" s="25" t="s">
        <v>113</v>
      </c>
      <c r="H13" s="25" t="s">
        <v>129</v>
      </c>
      <c r="I13" s="25" t="s">
        <v>130</v>
      </c>
      <c r="J13" s="25" t="s">
        <v>131</v>
      </c>
      <c r="K13" s="29">
        <v>2790000</v>
      </c>
      <c r="L13" s="29">
        <v>440</v>
      </c>
      <c r="M13" s="29">
        <v>399.99999999999994</v>
      </c>
      <c r="N13" s="29">
        <v>40.000000000000057</v>
      </c>
      <c r="O13" s="29">
        <v>2789560</v>
      </c>
      <c r="P13" s="25" t="s">
        <v>132</v>
      </c>
      <c r="Q13" s="25" t="s">
        <v>90</v>
      </c>
      <c r="R13" s="25" t="s">
        <v>132</v>
      </c>
      <c r="S13" s="25" t="s">
        <v>133</v>
      </c>
      <c r="T13" s="25" t="s">
        <v>435</v>
      </c>
      <c r="U13" s="25">
        <v>440</v>
      </c>
      <c r="V13" s="25" t="s">
        <v>132</v>
      </c>
    </row>
    <row r="14" spans="1:22" x14ac:dyDescent="0.25">
      <c r="A14" s="25" t="s">
        <v>0</v>
      </c>
      <c r="B14" s="25" t="s">
        <v>134</v>
      </c>
      <c r="C14" s="25" t="s">
        <v>134</v>
      </c>
      <c r="D14" s="25" t="s">
        <v>135</v>
      </c>
      <c r="E14" s="25" t="s">
        <v>136</v>
      </c>
      <c r="F14" s="25" t="s">
        <v>50</v>
      </c>
      <c r="G14" s="25" t="s">
        <v>64</v>
      </c>
      <c r="H14" s="25" t="s">
        <v>121</v>
      </c>
      <c r="I14" s="25" t="s">
        <v>137</v>
      </c>
      <c r="J14" s="25" t="s">
        <v>138</v>
      </c>
      <c r="K14" s="29">
        <v>-2490000</v>
      </c>
      <c r="L14" s="29">
        <v>-246510</v>
      </c>
      <c r="M14" s="29">
        <v>-224099.99999999997</v>
      </c>
      <c r="N14" s="29">
        <v>-22410.000000000029</v>
      </c>
      <c r="O14" s="29">
        <v>-2243490</v>
      </c>
      <c r="P14" s="25" t="s">
        <v>68</v>
      </c>
      <c r="Q14" s="25" t="s">
        <v>139</v>
      </c>
      <c r="R14" s="25" t="s">
        <v>140</v>
      </c>
      <c r="S14" s="25" t="s">
        <v>141</v>
      </c>
      <c r="T14" s="25" t="s">
        <v>142</v>
      </c>
      <c r="U14" s="25" t="s">
        <v>60</v>
      </c>
      <c r="V14" s="25" t="s">
        <v>61</v>
      </c>
    </row>
    <row r="15" spans="1:22" x14ac:dyDescent="0.25">
      <c r="A15" s="25" t="s">
        <v>0</v>
      </c>
      <c r="B15" s="25" t="s">
        <v>134</v>
      </c>
      <c r="C15" s="25" t="s">
        <v>134</v>
      </c>
      <c r="D15" s="25" t="s">
        <v>135</v>
      </c>
      <c r="E15" s="25" t="s">
        <v>143</v>
      </c>
      <c r="F15" s="25" t="s">
        <v>50</v>
      </c>
      <c r="G15" s="25" t="s">
        <v>64</v>
      </c>
      <c r="H15" s="25" t="s">
        <v>65</v>
      </c>
      <c r="I15" s="25" t="s">
        <v>144</v>
      </c>
      <c r="J15" s="25" t="s">
        <v>145</v>
      </c>
      <c r="K15" s="29">
        <v>-2490000</v>
      </c>
      <c r="L15" s="29">
        <v>-246510</v>
      </c>
      <c r="M15" s="29">
        <v>-224099.99999999997</v>
      </c>
      <c r="N15" s="29">
        <v>-22410.000000000029</v>
      </c>
      <c r="O15" s="29">
        <v>-2243490</v>
      </c>
      <c r="P15" s="25" t="s">
        <v>68</v>
      </c>
      <c r="Q15" s="25" t="s">
        <v>139</v>
      </c>
      <c r="R15" s="25" t="s">
        <v>146</v>
      </c>
      <c r="S15" s="25" t="s">
        <v>147</v>
      </c>
      <c r="T15" s="25" t="s">
        <v>142</v>
      </c>
      <c r="U15" s="25" t="s">
        <v>60</v>
      </c>
      <c r="V15" s="25" t="s">
        <v>61</v>
      </c>
    </row>
    <row r="16" spans="1:22" x14ac:dyDescent="0.25">
      <c r="A16" s="25" t="s">
        <v>0</v>
      </c>
      <c r="B16" s="25" t="s">
        <v>134</v>
      </c>
      <c r="C16" s="25" t="s">
        <v>134</v>
      </c>
      <c r="D16" s="25" t="s">
        <v>135</v>
      </c>
      <c r="E16" s="25" t="s">
        <v>148</v>
      </c>
      <c r="F16" s="25" t="s">
        <v>50</v>
      </c>
      <c r="G16" s="25" t="s">
        <v>64</v>
      </c>
      <c r="H16" s="25" t="s">
        <v>87</v>
      </c>
      <c r="I16" s="25" t="s">
        <v>149</v>
      </c>
      <c r="J16" s="25" t="s">
        <v>150</v>
      </c>
      <c r="K16" s="29">
        <v>-2490000</v>
      </c>
      <c r="L16" s="29">
        <v>-246510</v>
      </c>
      <c r="M16" s="29">
        <v>-224099.99999999997</v>
      </c>
      <c r="N16" s="29">
        <v>-22410.000000000029</v>
      </c>
      <c r="O16" s="29">
        <v>-2243490</v>
      </c>
      <c r="P16" s="25" t="s">
        <v>68</v>
      </c>
      <c r="Q16" s="25" t="s">
        <v>139</v>
      </c>
      <c r="R16" s="25" t="s">
        <v>151</v>
      </c>
      <c r="S16" s="25" t="s">
        <v>152</v>
      </c>
      <c r="T16" s="25" t="s">
        <v>142</v>
      </c>
      <c r="U16" s="25" t="s">
        <v>60</v>
      </c>
      <c r="V16" s="25" t="s">
        <v>61</v>
      </c>
    </row>
    <row r="17" spans="1:22" x14ac:dyDescent="0.25">
      <c r="A17" s="25" t="s">
        <v>0</v>
      </c>
      <c r="B17" s="25" t="s">
        <v>135</v>
      </c>
      <c r="C17" s="25" t="s">
        <v>135</v>
      </c>
      <c r="D17" s="25" t="s">
        <v>135</v>
      </c>
      <c r="E17" s="25" t="s">
        <v>148</v>
      </c>
      <c r="F17" s="25" t="s">
        <v>50</v>
      </c>
      <c r="G17" s="25" t="s">
        <v>113</v>
      </c>
      <c r="H17" s="25" t="s">
        <v>87</v>
      </c>
      <c r="I17" s="25" t="s">
        <v>149</v>
      </c>
      <c r="J17" s="25" t="s">
        <v>150</v>
      </c>
      <c r="K17" s="29">
        <v>2490000</v>
      </c>
      <c r="L17" s="29">
        <v>246510</v>
      </c>
      <c r="M17" s="29">
        <v>224099.99999999997</v>
      </c>
      <c r="N17" s="29">
        <v>22410.000000000029</v>
      </c>
      <c r="O17" s="29">
        <v>2243490</v>
      </c>
      <c r="P17" s="25" t="s">
        <v>116</v>
      </c>
      <c r="Q17" s="25" t="s">
        <v>139</v>
      </c>
      <c r="R17" s="25" t="s">
        <v>151</v>
      </c>
      <c r="S17" s="25" t="s">
        <v>152</v>
      </c>
      <c r="T17" s="25" t="s">
        <v>142</v>
      </c>
      <c r="U17" s="25" t="s">
        <v>60</v>
      </c>
      <c r="V17" s="25" t="s">
        <v>61</v>
      </c>
    </row>
    <row r="18" spans="1:22" x14ac:dyDescent="0.25">
      <c r="A18" s="25" t="s">
        <v>0</v>
      </c>
      <c r="B18" s="25" t="s">
        <v>135</v>
      </c>
      <c r="C18" s="25" t="s">
        <v>135</v>
      </c>
      <c r="D18" s="25" t="s">
        <v>135</v>
      </c>
      <c r="E18" s="25" t="s">
        <v>136</v>
      </c>
      <c r="F18" s="25" t="s">
        <v>50</v>
      </c>
      <c r="G18" s="25" t="s">
        <v>113</v>
      </c>
      <c r="H18" s="25" t="s">
        <v>121</v>
      </c>
      <c r="I18" s="25" t="s">
        <v>137</v>
      </c>
      <c r="J18" s="25" t="s">
        <v>138</v>
      </c>
      <c r="K18" s="29">
        <v>2490000</v>
      </c>
      <c r="L18" s="29">
        <v>246510</v>
      </c>
      <c r="M18" s="29">
        <v>224099.99999999997</v>
      </c>
      <c r="N18" s="29">
        <v>22410.000000000029</v>
      </c>
      <c r="O18" s="29">
        <v>2243490</v>
      </c>
      <c r="P18" s="25" t="s">
        <v>116</v>
      </c>
      <c r="Q18" s="25" t="s">
        <v>139</v>
      </c>
      <c r="R18" s="25" t="s">
        <v>140</v>
      </c>
      <c r="S18" s="25" t="s">
        <v>141</v>
      </c>
      <c r="T18" s="25" t="s">
        <v>142</v>
      </c>
      <c r="U18" s="25" t="s">
        <v>60</v>
      </c>
      <c r="V18" s="25" t="s">
        <v>61</v>
      </c>
    </row>
    <row r="19" spans="1:22" x14ac:dyDescent="0.25">
      <c r="A19" s="25" t="s">
        <v>0</v>
      </c>
      <c r="B19" s="25" t="s">
        <v>135</v>
      </c>
      <c r="C19" s="25" t="s">
        <v>135</v>
      </c>
      <c r="D19" s="25" t="s">
        <v>135</v>
      </c>
      <c r="E19" s="25" t="s">
        <v>143</v>
      </c>
      <c r="F19" s="25" t="s">
        <v>50</v>
      </c>
      <c r="G19" s="25" t="s">
        <v>113</v>
      </c>
      <c r="H19" s="25" t="s">
        <v>65</v>
      </c>
      <c r="I19" s="25" t="s">
        <v>144</v>
      </c>
      <c r="J19" s="25" t="s">
        <v>145</v>
      </c>
      <c r="K19" s="29">
        <v>2490000</v>
      </c>
      <c r="L19" s="29">
        <v>246510</v>
      </c>
      <c r="M19" s="29">
        <v>224099.99999999997</v>
      </c>
      <c r="N19" s="29">
        <v>22410.000000000029</v>
      </c>
      <c r="O19" s="29">
        <v>2243490</v>
      </c>
      <c r="P19" s="25" t="s">
        <v>116</v>
      </c>
      <c r="Q19" s="25" t="s">
        <v>139</v>
      </c>
      <c r="R19" s="25" t="s">
        <v>146</v>
      </c>
      <c r="S19" s="25" t="s">
        <v>147</v>
      </c>
      <c r="T19" s="25" t="s">
        <v>142</v>
      </c>
      <c r="U19" s="25" t="s">
        <v>60</v>
      </c>
      <c r="V19" s="25" t="s">
        <v>61</v>
      </c>
    </row>
    <row r="20" spans="1:22" x14ac:dyDescent="0.25">
      <c r="A20" s="25" t="s">
        <v>0</v>
      </c>
      <c r="B20" s="25" t="s">
        <v>135</v>
      </c>
      <c r="C20" s="25" t="s">
        <v>135</v>
      </c>
      <c r="D20" s="25" t="s">
        <v>135</v>
      </c>
      <c r="E20" s="25" t="s">
        <v>153</v>
      </c>
      <c r="F20" s="25" t="s">
        <v>50</v>
      </c>
      <c r="G20" s="25" t="s">
        <v>64</v>
      </c>
      <c r="H20" s="25" t="s">
        <v>121</v>
      </c>
      <c r="I20" s="25" t="s">
        <v>154</v>
      </c>
      <c r="J20" s="25" t="s">
        <v>155</v>
      </c>
      <c r="K20" s="29">
        <v>-100000</v>
      </c>
      <c r="L20" s="29">
        <v>-9900</v>
      </c>
      <c r="M20" s="29">
        <v>-9000</v>
      </c>
      <c r="N20" s="29">
        <v>-900</v>
      </c>
      <c r="O20" s="29">
        <v>-90100</v>
      </c>
      <c r="P20" s="25" t="s">
        <v>68</v>
      </c>
      <c r="Q20" s="25" t="s">
        <v>156</v>
      </c>
      <c r="R20" s="25" t="s">
        <v>157</v>
      </c>
      <c r="S20" s="25" t="s">
        <v>158</v>
      </c>
      <c r="T20" s="25" t="s">
        <v>39</v>
      </c>
      <c r="U20" s="25" t="s">
        <v>60</v>
      </c>
      <c r="V20" s="25" t="s">
        <v>61</v>
      </c>
    </row>
    <row r="21" spans="1:22" x14ac:dyDescent="0.25">
      <c r="A21" s="25" t="s">
        <v>0</v>
      </c>
      <c r="B21" s="25" t="s">
        <v>135</v>
      </c>
      <c r="C21" s="25" t="s">
        <v>135</v>
      </c>
      <c r="D21" s="25" t="s">
        <v>135</v>
      </c>
      <c r="E21" s="25" t="s">
        <v>153</v>
      </c>
      <c r="F21" s="25" t="s">
        <v>50</v>
      </c>
      <c r="G21" s="25" t="s">
        <v>113</v>
      </c>
      <c r="H21" s="25" t="s">
        <v>121</v>
      </c>
      <c r="I21" s="25" t="s">
        <v>154</v>
      </c>
      <c r="J21" s="25" t="s">
        <v>155</v>
      </c>
      <c r="K21" s="29">
        <v>100000</v>
      </c>
      <c r="L21" s="29">
        <v>9900</v>
      </c>
      <c r="M21" s="29">
        <v>9000</v>
      </c>
      <c r="N21" s="29">
        <v>900</v>
      </c>
      <c r="O21" s="29">
        <v>90100</v>
      </c>
      <c r="P21" s="25" t="s">
        <v>116</v>
      </c>
      <c r="Q21" s="25" t="s">
        <v>156</v>
      </c>
      <c r="R21" s="25" t="s">
        <v>157</v>
      </c>
      <c r="S21" s="25" t="s">
        <v>158</v>
      </c>
      <c r="T21" s="25" t="s">
        <v>39</v>
      </c>
      <c r="U21" s="25" t="s">
        <v>60</v>
      </c>
      <c r="V21" s="25" t="s">
        <v>61</v>
      </c>
    </row>
    <row r="22" spans="1:22" x14ac:dyDescent="0.25">
      <c r="A22" s="25" t="s">
        <v>0</v>
      </c>
      <c r="B22" s="25" t="s">
        <v>159</v>
      </c>
      <c r="C22" s="25" t="s">
        <v>159</v>
      </c>
      <c r="D22" s="25" t="s">
        <v>159</v>
      </c>
      <c r="E22" s="25" t="s">
        <v>160</v>
      </c>
      <c r="F22" s="25" t="s">
        <v>50</v>
      </c>
      <c r="G22" s="25" t="s">
        <v>113</v>
      </c>
      <c r="H22" s="25" t="s">
        <v>87</v>
      </c>
      <c r="I22" s="25" t="s">
        <v>161</v>
      </c>
      <c r="J22" s="25" t="s">
        <v>162</v>
      </c>
      <c r="K22" s="29">
        <v>3490000</v>
      </c>
      <c r="L22" s="29">
        <v>345510</v>
      </c>
      <c r="M22" s="29">
        <v>314100</v>
      </c>
      <c r="N22" s="29">
        <v>31410</v>
      </c>
      <c r="O22" s="29">
        <v>3144490</v>
      </c>
      <c r="P22" s="25" t="s">
        <v>116</v>
      </c>
      <c r="Q22" s="25" t="s">
        <v>43</v>
      </c>
      <c r="R22" s="25" t="s">
        <v>163</v>
      </c>
      <c r="S22" s="25" t="s">
        <v>164</v>
      </c>
      <c r="T22" s="25" t="s">
        <v>39</v>
      </c>
      <c r="U22" s="25" t="s">
        <v>60</v>
      </c>
      <c r="V22" s="25" t="s">
        <v>61</v>
      </c>
    </row>
    <row r="23" spans="1:22" x14ac:dyDescent="0.25">
      <c r="A23" s="25" t="s">
        <v>0</v>
      </c>
      <c r="B23" s="25" t="s">
        <v>159</v>
      </c>
      <c r="C23" s="25" t="s">
        <v>159</v>
      </c>
      <c r="D23" s="25" t="s">
        <v>159</v>
      </c>
      <c r="E23" s="25" t="s">
        <v>165</v>
      </c>
      <c r="F23" s="25" t="s">
        <v>50</v>
      </c>
      <c r="G23" s="25" t="s">
        <v>113</v>
      </c>
      <c r="H23" s="25" t="s">
        <v>52</v>
      </c>
      <c r="I23" s="25" t="s">
        <v>166</v>
      </c>
      <c r="J23" s="25" t="s">
        <v>167</v>
      </c>
      <c r="K23" s="29">
        <v>3490000</v>
      </c>
      <c r="L23" s="29">
        <v>103653</v>
      </c>
      <c r="M23" s="29">
        <v>94229.999999999985</v>
      </c>
      <c r="N23" s="29">
        <v>9423.0000000000146</v>
      </c>
      <c r="O23" s="29">
        <v>3386347</v>
      </c>
      <c r="P23" s="25" t="s">
        <v>116</v>
      </c>
      <c r="Q23" s="25" t="s">
        <v>43</v>
      </c>
      <c r="R23" s="25" t="s">
        <v>168</v>
      </c>
      <c r="S23" s="25" t="s">
        <v>169</v>
      </c>
      <c r="T23" s="25" t="s">
        <v>39</v>
      </c>
      <c r="U23" s="25" t="s">
        <v>94</v>
      </c>
      <c r="V23" s="25" t="s">
        <v>95</v>
      </c>
    </row>
    <row r="24" spans="1:22" x14ac:dyDescent="0.25">
      <c r="A24" s="25" t="s">
        <v>0</v>
      </c>
      <c r="B24" s="25" t="s">
        <v>159</v>
      </c>
      <c r="C24" s="25" t="s">
        <v>159</v>
      </c>
      <c r="D24" s="25" t="s">
        <v>159</v>
      </c>
      <c r="E24" s="25" t="s">
        <v>170</v>
      </c>
      <c r="F24" s="25" t="s">
        <v>50</v>
      </c>
      <c r="G24" s="25" t="s">
        <v>64</v>
      </c>
      <c r="H24" s="25" t="s">
        <v>87</v>
      </c>
      <c r="I24" s="25" t="s">
        <v>171</v>
      </c>
      <c r="J24" s="25" t="s">
        <v>172</v>
      </c>
      <c r="K24" s="29">
        <v>-3490000</v>
      </c>
      <c r="L24" s="29">
        <v>-345510</v>
      </c>
      <c r="M24" s="29">
        <v>-314100</v>
      </c>
      <c r="N24" s="29">
        <v>-31410</v>
      </c>
      <c r="O24" s="29">
        <v>-3144490</v>
      </c>
      <c r="P24" s="25" t="s">
        <v>68</v>
      </c>
      <c r="Q24" s="25" t="s">
        <v>43</v>
      </c>
      <c r="R24" s="25" t="s">
        <v>173</v>
      </c>
      <c r="S24" s="25" t="s">
        <v>174</v>
      </c>
      <c r="T24" s="25" t="s">
        <v>39</v>
      </c>
      <c r="U24" s="25" t="s">
        <v>60</v>
      </c>
      <c r="V24" s="25" t="s">
        <v>61</v>
      </c>
    </row>
    <row r="25" spans="1:22" x14ac:dyDescent="0.25">
      <c r="A25" s="25" t="s">
        <v>0</v>
      </c>
      <c r="B25" s="25" t="s">
        <v>159</v>
      </c>
      <c r="C25" s="25" t="s">
        <v>159</v>
      </c>
      <c r="D25" s="25" t="s">
        <v>159</v>
      </c>
      <c r="E25" s="25" t="s">
        <v>175</v>
      </c>
      <c r="F25" s="25" t="s">
        <v>50</v>
      </c>
      <c r="G25" s="25" t="s">
        <v>113</v>
      </c>
      <c r="H25" s="25" t="s">
        <v>65</v>
      </c>
      <c r="I25" s="25" t="s">
        <v>176</v>
      </c>
      <c r="J25" s="25" t="s">
        <v>177</v>
      </c>
      <c r="K25" s="29">
        <v>3490000</v>
      </c>
      <c r="L25" s="29">
        <v>345510</v>
      </c>
      <c r="M25" s="29">
        <v>314100</v>
      </c>
      <c r="N25" s="29">
        <v>31410</v>
      </c>
      <c r="O25" s="29">
        <v>3144490</v>
      </c>
      <c r="P25" s="25" t="s">
        <v>116</v>
      </c>
      <c r="Q25" s="25" t="s">
        <v>43</v>
      </c>
      <c r="R25" s="25" t="s">
        <v>178</v>
      </c>
      <c r="S25" s="25" t="s">
        <v>179</v>
      </c>
      <c r="T25" s="25" t="s">
        <v>39</v>
      </c>
      <c r="U25" s="25" t="s">
        <v>60</v>
      </c>
      <c r="V25" s="25" t="s">
        <v>61</v>
      </c>
    </row>
    <row r="26" spans="1:22" x14ac:dyDescent="0.25">
      <c r="A26" s="25" t="s">
        <v>0</v>
      </c>
      <c r="B26" s="25" t="s">
        <v>159</v>
      </c>
      <c r="C26" s="25" t="s">
        <v>159</v>
      </c>
      <c r="D26" s="25" t="s">
        <v>159</v>
      </c>
      <c r="E26" s="25" t="s">
        <v>180</v>
      </c>
      <c r="F26" s="25" t="s">
        <v>50</v>
      </c>
      <c r="G26" s="25" t="s">
        <v>113</v>
      </c>
      <c r="H26" s="25" t="s">
        <v>87</v>
      </c>
      <c r="I26" s="25" t="s">
        <v>181</v>
      </c>
      <c r="J26" s="25" t="s">
        <v>182</v>
      </c>
      <c r="K26" s="29">
        <v>3490000</v>
      </c>
      <c r="L26" s="29">
        <v>345510</v>
      </c>
      <c r="M26" s="29">
        <v>314100</v>
      </c>
      <c r="N26" s="29">
        <v>31410</v>
      </c>
      <c r="O26" s="29">
        <v>3144490</v>
      </c>
      <c r="P26" s="25" t="s">
        <v>116</v>
      </c>
      <c r="Q26" s="25" t="s">
        <v>43</v>
      </c>
      <c r="R26" s="25" t="s">
        <v>183</v>
      </c>
      <c r="S26" s="25" t="s">
        <v>184</v>
      </c>
      <c r="T26" s="25" t="s">
        <v>39</v>
      </c>
      <c r="U26" s="25" t="s">
        <v>60</v>
      </c>
      <c r="V26" s="25" t="s">
        <v>61</v>
      </c>
    </row>
    <row r="27" spans="1:22" x14ac:dyDescent="0.25">
      <c r="A27" s="25" t="s">
        <v>0</v>
      </c>
      <c r="B27" s="25" t="s">
        <v>159</v>
      </c>
      <c r="C27" s="25" t="s">
        <v>159</v>
      </c>
      <c r="D27" s="25" t="s">
        <v>159</v>
      </c>
      <c r="E27" s="25" t="s">
        <v>185</v>
      </c>
      <c r="F27" s="25" t="s">
        <v>50</v>
      </c>
      <c r="G27" s="25" t="s">
        <v>64</v>
      </c>
      <c r="H27" s="25" t="s">
        <v>87</v>
      </c>
      <c r="I27" s="25" t="s">
        <v>186</v>
      </c>
      <c r="J27" s="25" t="s">
        <v>187</v>
      </c>
      <c r="K27" s="29">
        <v>-3490000</v>
      </c>
      <c r="L27" s="29">
        <v>-103653</v>
      </c>
      <c r="M27" s="29">
        <v>-94229.999999999985</v>
      </c>
      <c r="N27" s="29">
        <v>-9423.0000000000146</v>
      </c>
      <c r="O27" s="29">
        <v>-3386347</v>
      </c>
      <c r="P27" s="25" t="s">
        <v>68</v>
      </c>
      <c r="Q27" s="25" t="s">
        <v>43</v>
      </c>
      <c r="R27" s="25" t="s">
        <v>188</v>
      </c>
      <c r="S27" s="25" t="s">
        <v>189</v>
      </c>
      <c r="T27" s="25" t="s">
        <v>39</v>
      </c>
      <c r="U27" s="25" t="s">
        <v>94</v>
      </c>
      <c r="V27" s="25" t="s">
        <v>95</v>
      </c>
    </row>
    <row r="28" spans="1:22" x14ac:dyDescent="0.25">
      <c r="A28" s="25" t="s">
        <v>0</v>
      </c>
      <c r="B28" s="25" t="s">
        <v>159</v>
      </c>
      <c r="C28" s="25" t="s">
        <v>159</v>
      </c>
      <c r="D28" s="25" t="s">
        <v>159</v>
      </c>
      <c r="E28" s="25" t="s">
        <v>190</v>
      </c>
      <c r="F28" s="25" t="s">
        <v>50</v>
      </c>
      <c r="G28" s="25" t="s">
        <v>113</v>
      </c>
      <c r="H28" s="25" t="s">
        <v>65</v>
      </c>
      <c r="I28" s="25" t="s">
        <v>191</v>
      </c>
      <c r="J28" s="25" t="s">
        <v>192</v>
      </c>
      <c r="K28" s="29">
        <v>3490000</v>
      </c>
      <c r="L28" s="29">
        <v>345510</v>
      </c>
      <c r="M28" s="29">
        <v>314100</v>
      </c>
      <c r="N28" s="29">
        <v>31410</v>
      </c>
      <c r="O28" s="29">
        <v>3144490</v>
      </c>
      <c r="P28" s="25" t="s">
        <v>116</v>
      </c>
      <c r="Q28" s="25" t="s">
        <v>43</v>
      </c>
      <c r="R28" s="25" t="s">
        <v>193</v>
      </c>
      <c r="S28" s="25" t="s">
        <v>194</v>
      </c>
      <c r="T28" s="25" t="s">
        <v>39</v>
      </c>
      <c r="U28" s="25" t="s">
        <v>60</v>
      </c>
      <c r="V28" s="25" t="s">
        <v>61</v>
      </c>
    </row>
    <row r="29" spans="1:22" x14ac:dyDescent="0.25">
      <c r="A29" s="25" t="s">
        <v>0</v>
      </c>
      <c r="B29" s="25" t="s">
        <v>159</v>
      </c>
      <c r="C29" s="25" t="s">
        <v>159</v>
      </c>
      <c r="D29" s="25" t="s">
        <v>159</v>
      </c>
      <c r="E29" s="25" t="s">
        <v>195</v>
      </c>
      <c r="F29" s="25" t="s">
        <v>50</v>
      </c>
      <c r="G29" s="25" t="s">
        <v>113</v>
      </c>
      <c r="H29" s="25" t="s">
        <v>196</v>
      </c>
      <c r="I29" s="25" t="s">
        <v>197</v>
      </c>
      <c r="J29" s="25" t="s">
        <v>198</v>
      </c>
      <c r="K29" s="29">
        <v>3490000</v>
      </c>
      <c r="L29" s="29">
        <v>345510</v>
      </c>
      <c r="M29" s="29">
        <v>314100</v>
      </c>
      <c r="N29" s="29">
        <v>31410</v>
      </c>
      <c r="O29" s="29">
        <v>3144490</v>
      </c>
      <c r="P29" s="25" t="s">
        <v>116</v>
      </c>
      <c r="Q29" s="25" t="s">
        <v>43</v>
      </c>
      <c r="R29" s="25" t="s">
        <v>199</v>
      </c>
      <c r="S29" s="25" t="s">
        <v>200</v>
      </c>
      <c r="T29" s="25" t="s">
        <v>39</v>
      </c>
      <c r="U29" s="25" t="s">
        <v>60</v>
      </c>
      <c r="V29" s="25" t="s">
        <v>61</v>
      </c>
    </row>
    <row r="30" spans="1:22" x14ac:dyDescent="0.25">
      <c r="A30" s="25" t="s">
        <v>0</v>
      </c>
      <c r="B30" s="25" t="s">
        <v>159</v>
      </c>
      <c r="C30" s="25" t="s">
        <v>159</v>
      </c>
      <c r="D30" s="25" t="s">
        <v>159</v>
      </c>
      <c r="E30" s="25" t="s">
        <v>201</v>
      </c>
      <c r="F30" s="25" t="s">
        <v>50</v>
      </c>
      <c r="G30" s="25" t="s">
        <v>113</v>
      </c>
      <c r="H30" s="25" t="s">
        <v>65</v>
      </c>
      <c r="I30" s="25" t="s">
        <v>202</v>
      </c>
      <c r="J30" s="25" t="s">
        <v>203</v>
      </c>
      <c r="K30" s="29">
        <v>2690000</v>
      </c>
      <c r="L30" s="29">
        <v>266310</v>
      </c>
      <c r="M30" s="29">
        <v>242099.99999999997</v>
      </c>
      <c r="N30" s="29">
        <v>24210.000000000029</v>
      </c>
      <c r="O30" s="29">
        <v>2423690</v>
      </c>
      <c r="P30" s="25" t="s">
        <v>116</v>
      </c>
      <c r="Q30" s="25" t="s">
        <v>156</v>
      </c>
      <c r="R30" s="25" t="s">
        <v>204</v>
      </c>
      <c r="S30" s="25" t="s">
        <v>205</v>
      </c>
      <c r="T30" s="25" t="s">
        <v>39</v>
      </c>
      <c r="U30" s="25" t="s">
        <v>60</v>
      </c>
      <c r="V30" s="25" t="s">
        <v>61</v>
      </c>
    </row>
    <row r="31" spans="1:22" x14ac:dyDescent="0.25">
      <c r="A31" s="25" t="s">
        <v>0</v>
      </c>
      <c r="B31" s="25" t="s">
        <v>159</v>
      </c>
      <c r="C31" s="25" t="s">
        <v>159</v>
      </c>
      <c r="D31" s="25" t="s">
        <v>159</v>
      </c>
      <c r="E31" s="25" t="s">
        <v>206</v>
      </c>
      <c r="F31" s="25" t="s">
        <v>50</v>
      </c>
      <c r="G31" s="25" t="s">
        <v>113</v>
      </c>
      <c r="H31" s="25" t="s">
        <v>98</v>
      </c>
      <c r="I31" s="25" t="s">
        <v>207</v>
      </c>
      <c r="J31" s="25" t="s">
        <v>208</v>
      </c>
      <c r="K31" s="29">
        <v>3490000</v>
      </c>
      <c r="L31" s="29">
        <v>103653</v>
      </c>
      <c r="M31" s="29">
        <v>94229.999999999985</v>
      </c>
      <c r="N31" s="29">
        <v>9423.0000000000146</v>
      </c>
      <c r="O31" s="29">
        <v>3386347</v>
      </c>
      <c r="P31" s="25" t="s">
        <v>116</v>
      </c>
      <c r="Q31" s="25" t="s">
        <v>43</v>
      </c>
      <c r="R31" s="25" t="s">
        <v>209</v>
      </c>
      <c r="S31" s="25" t="s">
        <v>210</v>
      </c>
      <c r="T31" s="25" t="s">
        <v>39</v>
      </c>
      <c r="U31" s="25" t="s">
        <v>94</v>
      </c>
      <c r="V31" s="25" t="s">
        <v>95</v>
      </c>
    </row>
    <row r="32" spans="1:22" x14ac:dyDescent="0.25">
      <c r="A32" s="25" t="s">
        <v>0</v>
      </c>
      <c r="B32" s="25" t="s">
        <v>159</v>
      </c>
      <c r="C32" s="25" t="s">
        <v>159</v>
      </c>
      <c r="D32" s="25" t="s">
        <v>159</v>
      </c>
      <c r="E32" s="25" t="s">
        <v>211</v>
      </c>
      <c r="F32" s="25" t="s">
        <v>50</v>
      </c>
      <c r="G32" s="25" t="s">
        <v>113</v>
      </c>
      <c r="H32" s="25" t="s">
        <v>78</v>
      </c>
      <c r="I32" s="25" t="s">
        <v>212</v>
      </c>
      <c r="J32" s="25" t="s">
        <v>213</v>
      </c>
      <c r="K32" s="29">
        <v>3490000</v>
      </c>
      <c r="L32" s="29">
        <v>103653</v>
      </c>
      <c r="M32" s="29">
        <v>94229.999999999985</v>
      </c>
      <c r="N32" s="29">
        <v>9423.0000000000146</v>
      </c>
      <c r="O32" s="29">
        <v>3386347</v>
      </c>
      <c r="P32" s="25" t="s">
        <v>116</v>
      </c>
      <c r="Q32" s="25" t="s">
        <v>43</v>
      </c>
      <c r="R32" s="25" t="s">
        <v>214</v>
      </c>
      <c r="S32" s="25" t="s">
        <v>215</v>
      </c>
      <c r="T32" s="25" t="s">
        <v>39</v>
      </c>
      <c r="U32" s="25" t="s">
        <v>94</v>
      </c>
      <c r="V32" s="25" t="s">
        <v>95</v>
      </c>
    </row>
    <row r="33" spans="1:22" x14ac:dyDescent="0.25">
      <c r="A33" s="25" t="s">
        <v>0</v>
      </c>
      <c r="B33" s="25" t="s">
        <v>159</v>
      </c>
      <c r="C33" s="25" t="s">
        <v>159</v>
      </c>
      <c r="D33" s="25" t="s">
        <v>159</v>
      </c>
      <c r="E33" s="25" t="s">
        <v>216</v>
      </c>
      <c r="F33" s="25" t="s">
        <v>50</v>
      </c>
      <c r="G33" s="25" t="s">
        <v>113</v>
      </c>
      <c r="H33" s="25" t="s">
        <v>217</v>
      </c>
      <c r="I33" s="25" t="s">
        <v>218</v>
      </c>
      <c r="J33" s="25" t="s">
        <v>219</v>
      </c>
      <c r="K33" s="29">
        <v>3490000</v>
      </c>
      <c r="L33" s="29">
        <v>345510</v>
      </c>
      <c r="M33" s="29">
        <v>314100</v>
      </c>
      <c r="N33" s="29">
        <v>31410</v>
      </c>
      <c r="O33" s="29">
        <v>3144490</v>
      </c>
      <c r="P33" s="25" t="s">
        <v>116</v>
      </c>
      <c r="Q33" s="25" t="s">
        <v>43</v>
      </c>
      <c r="R33" s="25" t="s">
        <v>220</v>
      </c>
      <c r="S33" s="25" t="s">
        <v>221</v>
      </c>
      <c r="T33" s="25" t="s">
        <v>39</v>
      </c>
      <c r="U33" s="25" t="s">
        <v>60</v>
      </c>
      <c r="V33" s="25" t="s">
        <v>61</v>
      </c>
    </row>
    <row r="34" spans="1:22" x14ac:dyDescent="0.25">
      <c r="A34" s="25" t="s">
        <v>0</v>
      </c>
      <c r="B34" s="25" t="s">
        <v>159</v>
      </c>
      <c r="C34" s="25" t="s">
        <v>159</v>
      </c>
      <c r="D34" s="25" t="s">
        <v>159</v>
      </c>
      <c r="E34" s="25" t="s">
        <v>222</v>
      </c>
      <c r="F34" s="25" t="s">
        <v>50</v>
      </c>
      <c r="G34" s="25" t="s">
        <v>113</v>
      </c>
      <c r="H34" s="25" t="s">
        <v>87</v>
      </c>
      <c r="I34" s="25" t="s">
        <v>223</v>
      </c>
      <c r="J34" s="25" t="s">
        <v>224</v>
      </c>
      <c r="K34" s="29">
        <v>2690000</v>
      </c>
      <c r="L34" s="29">
        <v>266310</v>
      </c>
      <c r="M34" s="29">
        <v>242099.99999999997</v>
      </c>
      <c r="N34" s="29">
        <v>24210.000000000029</v>
      </c>
      <c r="O34" s="29">
        <v>2423690</v>
      </c>
      <c r="P34" s="25" t="s">
        <v>116</v>
      </c>
      <c r="Q34" s="25" t="s">
        <v>156</v>
      </c>
      <c r="R34" s="25" t="s">
        <v>225</v>
      </c>
      <c r="S34" s="25" t="s">
        <v>226</v>
      </c>
      <c r="T34" s="25" t="s">
        <v>39</v>
      </c>
      <c r="U34" s="25" t="s">
        <v>60</v>
      </c>
      <c r="V34" s="25" t="s">
        <v>61</v>
      </c>
    </row>
    <row r="35" spans="1:22" x14ac:dyDescent="0.25">
      <c r="A35" s="25" t="s">
        <v>0</v>
      </c>
      <c r="B35" s="25" t="s">
        <v>159</v>
      </c>
      <c r="C35" s="25" t="s">
        <v>159</v>
      </c>
      <c r="D35" s="25" t="s">
        <v>159</v>
      </c>
      <c r="E35" s="25" t="s">
        <v>227</v>
      </c>
      <c r="F35" s="25" t="s">
        <v>50</v>
      </c>
      <c r="G35" s="25" t="s">
        <v>113</v>
      </c>
      <c r="H35" s="25" t="s">
        <v>65</v>
      </c>
      <c r="I35" s="25" t="s">
        <v>228</v>
      </c>
      <c r="J35" s="25" t="s">
        <v>229</v>
      </c>
      <c r="K35" s="29">
        <v>3490000</v>
      </c>
      <c r="L35" s="29">
        <v>345510</v>
      </c>
      <c r="M35" s="29">
        <v>314100</v>
      </c>
      <c r="N35" s="29">
        <v>31410</v>
      </c>
      <c r="O35" s="29">
        <v>3144490</v>
      </c>
      <c r="P35" s="25" t="s">
        <v>116</v>
      </c>
      <c r="Q35" s="25" t="s">
        <v>43</v>
      </c>
      <c r="R35" s="25" t="s">
        <v>230</v>
      </c>
      <c r="S35" s="25" t="s">
        <v>231</v>
      </c>
      <c r="T35" s="25" t="s">
        <v>39</v>
      </c>
      <c r="U35" s="25" t="s">
        <v>60</v>
      </c>
      <c r="V35" s="25" t="s">
        <v>61</v>
      </c>
    </row>
    <row r="36" spans="1:22" x14ac:dyDescent="0.25">
      <c r="A36" s="25" t="s">
        <v>0</v>
      </c>
      <c r="B36" s="25" t="s">
        <v>159</v>
      </c>
      <c r="C36" s="25" t="s">
        <v>159</v>
      </c>
      <c r="D36" s="25" t="s">
        <v>159</v>
      </c>
      <c r="E36" s="25" t="s">
        <v>232</v>
      </c>
      <c r="F36" s="25" t="s">
        <v>50</v>
      </c>
      <c r="G36" s="25" t="s">
        <v>113</v>
      </c>
      <c r="H36" s="25" t="s">
        <v>196</v>
      </c>
      <c r="I36" s="25" t="s">
        <v>233</v>
      </c>
      <c r="J36" s="25" t="s">
        <v>234</v>
      </c>
      <c r="K36" s="29">
        <v>2690000</v>
      </c>
      <c r="L36" s="29">
        <v>266310</v>
      </c>
      <c r="M36" s="29">
        <v>242099.99999999997</v>
      </c>
      <c r="N36" s="29">
        <v>24210.000000000029</v>
      </c>
      <c r="O36" s="29">
        <v>2423690</v>
      </c>
      <c r="P36" s="25" t="s">
        <v>116</v>
      </c>
      <c r="Q36" s="25" t="s">
        <v>156</v>
      </c>
      <c r="R36" s="25" t="s">
        <v>235</v>
      </c>
      <c r="S36" s="25" t="s">
        <v>236</v>
      </c>
      <c r="T36" s="25" t="s">
        <v>39</v>
      </c>
      <c r="U36" s="25" t="s">
        <v>60</v>
      </c>
      <c r="V36" s="25" t="s">
        <v>61</v>
      </c>
    </row>
    <row r="37" spans="1:22" x14ac:dyDescent="0.25">
      <c r="A37" s="25" t="s">
        <v>0</v>
      </c>
      <c r="B37" s="25" t="s">
        <v>159</v>
      </c>
      <c r="C37" s="25" t="s">
        <v>159</v>
      </c>
      <c r="D37" s="25" t="s">
        <v>159</v>
      </c>
      <c r="E37" s="25" t="s">
        <v>237</v>
      </c>
      <c r="F37" s="25" t="s">
        <v>50</v>
      </c>
      <c r="G37" s="25" t="s">
        <v>113</v>
      </c>
      <c r="H37" s="25" t="s">
        <v>87</v>
      </c>
      <c r="I37" s="25" t="s">
        <v>238</v>
      </c>
      <c r="J37" s="25" t="s">
        <v>239</v>
      </c>
      <c r="K37" s="29">
        <v>3490000</v>
      </c>
      <c r="L37" s="29">
        <v>345510</v>
      </c>
      <c r="M37" s="29">
        <v>314100</v>
      </c>
      <c r="N37" s="29">
        <v>31410</v>
      </c>
      <c r="O37" s="29">
        <v>3144490</v>
      </c>
      <c r="P37" s="25" t="s">
        <v>116</v>
      </c>
      <c r="Q37" s="25" t="s">
        <v>43</v>
      </c>
      <c r="R37" s="25" t="s">
        <v>240</v>
      </c>
      <c r="S37" s="25" t="s">
        <v>241</v>
      </c>
      <c r="T37" s="25" t="s">
        <v>39</v>
      </c>
      <c r="U37" s="25" t="s">
        <v>60</v>
      </c>
      <c r="V37" s="25" t="s">
        <v>61</v>
      </c>
    </row>
    <row r="38" spans="1:22" x14ac:dyDescent="0.25">
      <c r="A38" s="25" t="s">
        <v>0</v>
      </c>
      <c r="B38" s="25" t="s">
        <v>159</v>
      </c>
      <c r="C38" s="25" t="s">
        <v>159</v>
      </c>
      <c r="D38" s="25" t="s">
        <v>159</v>
      </c>
      <c r="E38" s="25" t="s">
        <v>242</v>
      </c>
      <c r="F38" s="25" t="s">
        <v>50</v>
      </c>
      <c r="G38" s="25" t="s">
        <v>113</v>
      </c>
      <c r="H38" s="25" t="s">
        <v>243</v>
      </c>
      <c r="I38" s="25" t="s">
        <v>244</v>
      </c>
      <c r="J38" s="25" t="s">
        <v>245</v>
      </c>
      <c r="K38" s="29">
        <v>3490000</v>
      </c>
      <c r="L38" s="29">
        <v>345510</v>
      </c>
      <c r="M38" s="29">
        <v>314100</v>
      </c>
      <c r="N38" s="29">
        <v>31410</v>
      </c>
      <c r="O38" s="29">
        <v>3144490</v>
      </c>
      <c r="P38" s="25" t="s">
        <v>116</v>
      </c>
      <c r="Q38" s="25" t="s">
        <v>43</v>
      </c>
      <c r="R38" s="25" t="s">
        <v>246</v>
      </c>
      <c r="S38" s="25" t="s">
        <v>247</v>
      </c>
      <c r="T38" s="25" t="s">
        <v>39</v>
      </c>
      <c r="U38" s="25" t="s">
        <v>60</v>
      </c>
      <c r="V38" s="25" t="s">
        <v>61</v>
      </c>
    </row>
    <row r="39" spans="1:22" x14ac:dyDescent="0.25">
      <c r="A39" s="25" t="s">
        <v>0</v>
      </c>
      <c r="B39" s="25" t="s">
        <v>159</v>
      </c>
      <c r="C39" s="25" t="s">
        <v>159</v>
      </c>
      <c r="D39" s="25" t="s">
        <v>159</v>
      </c>
      <c r="E39" s="25" t="s">
        <v>248</v>
      </c>
      <c r="F39" s="25" t="s">
        <v>50</v>
      </c>
      <c r="G39" s="25" t="s">
        <v>113</v>
      </c>
      <c r="H39" s="25" t="s">
        <v>78</v>
      </c>
      <c r="I39" s="25" t="s">
        <v>249</v>
      </c>
      <c r="J39" s="25" t="s">
        <v>250</v>
      </c>
      <c r="K39" s="29">
        <v>3490000</v>
      </c>
      <c r="L39" s="29">
        <v>345510</v>
      </c>
      <c r="M39" s="29">
        <v>314100</v>
      </c>
      <c r="N39" s="29">
        <v>31410</v>
      </c>
      <c r="O39" s="29">
        <v>3144490</v>
      </c>
      <c r="P39" s="32" t="s">
        <v>116</v>
      </c>
      <c r="Q39" s="25" t="s">
        <v>43</v>
      </c>
      <c r="R39" s="25" t="s">
        <v>251</v>
      </c>
      <c r="S39" s="25" t="s">
        <v>252</v>
      </c>
      <c r="T39" s="25" t="s">
        <v>39</v>
      </c>
      <c r="U39" s="25" t="s">
        <v>60</v>
      </c>
      <c r="V39" s="25" t="s">
        <v>61</v>
      </c>
    </row>
    <row r="40" spans="1:22" x14ac:dyDescent="0.25">
      <c r="A40" s="25" t="s">
        <v>0</v>
      </c>
      <c r="B40" s="25" t="s">
        <v>159</v>
      </c>
      <c r="C40" s="25" t="s">
        <v>159</v>
      </c>
      <c r="D40" s="25" t="s">
        <v>159</v>
      </c>
      <c r="E40" s="25" t="s">
        <v>253</v>
      </c>
      <c r="F40" s="25" t="s">
        <v>50</v>
      </c>
      <c r="G40" s="25" t="s">
        <v>113</v>
      </c>
      <c r="H40" s="25" t="s">
        <v>98</v>
      </c>
      <c r="I40" s="25" t="s">
        <v>254</v>
      </c>
      <c r="J40" s="25" t="s">
        <v>255</v>
      </c>
      <c r="K40" s="29">
        <v>2690000</v>
      </c>
      <c r="L40" s="29">
        <v>79893</v>
      </c>
      <c r="M40" s="29">
        <v>72630</v>
      </c>
      <c r="N40" s="29">
        <v>7263</v>
      </c>
      <c r="O40" s="29">
        <v>2610107</v>
      </c>
      <c r="P40" s="25" t="s">
        <v>116</v>
      </c>
      <c r="Q40" s="25" t="s">
        <v>156</v>
      </c>
      <c r="R40" s="25" t="s">
        <v>256</v>
      </c>
      <c r="S40" s="25" t="s">
        <v>257</v>
      </c>
      <c r="T40" s="25" t="s">
        <v>39</v>
      </c>
      <c r="U40" s="25" t="s">
        <v>94</v>
      </c>
      <c r="V40" s="25" t="s">
        <v>95</v>
      </c>
    </row>
    <row r="41" spans="1:22" x14ac:dyDescent="0.25">
      <c r="A41" s="25" t="s">
        <v>0</v>
      </c>
      <c r="B41" s="25" t="s">
        <v>159</v>
      </c>
      <c r="C41" s="25" t="s">
        <v>159</v>
      </c>
      <c r="D41" s="25" t="s">
        <v>159</v>
      </c>
      <c r="E41" s="25" t="s">
        <v>258</v>
      </c>
      <c r="F41" s="25" t="s">
        <v>50</v>
      </c>
      <c r="G41" s="25" t="s">
        <v>113</v>
      </c>
      <c r="H41" s="25" t="s">
        <v>217</v>
      </c>
      <c r="I41" s="25" t="s">
        <v>259</v>
      </c>
      <c r="J41" s="25" t="s">
        <v>260</v>
      </c>
      <c r="K41" s="29">
        <v>1490000</v>
      </c>
      <c r="L41" s="29">
        <v>147510</v>
      </c>
      <c r="M41" s="29">
        <v>134100</v>
      </c>
      <c r="N41" s="29">
        <v>13410</v>
      </c>
      <c r="O41" s="29">
        <v>1342490</v>
      </c>
      <c r="P41" s="25" t="s">
        <v>116</v>
      </c>
      <c r="Q41" s="25" t="s">
        <v>43</v>
      </c>
      <c r="R41" s="25" t="s">
        <v>261</v>
      </c>
      <c r="S41" s="25" t="s">
        <v>262</v>
      </c>
      <c r="T41" s="25" t="s">
        <v>39</v>
      </c>
      <c r="U41" s="25" t="s">
        <v>60</v>
      </c>
      <c r="V41" s="25" t="s">
        <v>61</v>
      </c>
    </row>
    <row r="42" spans="1:22" x14ac:dyDescent="0.25">
      <c r="A42" s="25" t="s">
        <v>0</v>
      </c>
      <c r="B42" s="25" t="s">
        <v>159</v>
      </c>
      <c r="C42" s="25" t="s">
        <v>159</v>
      </c>
      <c r="D42" s="25" t="s">
        <v>159</v>
      </c>
      <c r="E42" s="25" t="s">
        <v>263</v>
      </c>
      <c r="F42" s="25" t="s">
        <v>50</v>
      </c>
      <c r="G42" s="25" t="s">
        <v>113</v>
      </c>
      <c r="H42" s="25" t="s">
        <v>121</v>
      </c>
      <c r="I42" s="25" t="s">
        <v>264</v>
      </c>
      <c r="J42" s="25" t="s">
        <v>265</v>
      </c>
      <c r="K42" s="29">
        <v>3490000</v>
      </c>
      <c r="L42" s="29">
        <v>345510</v>
      </c>
      <c r="M42" s="29">
        <v>314100</v>
      </c>
      <c r="N42" s="29">
        <v>31410</v>
      </c>
      <c r="O42" s="29">
        <v>3144490</v>
      </c>
      <c r="P42" s="25" t="s">
        <v>116</v>
      </c>
      <c r="Q42" s="25" t="s">
        <v>43</v>
      </c>
      <c r="R42" s="25" t="s">
        <v>266</v>
      </c>
      <c r="S42" s="25" t="s">
        <v>267</v>
      </c>
      <c r="T42" s="25" t="s">
        <v>39</v>
      </c>
      <c r="U42" s="25" t="s">
        <v>60</v>
      </c>
      <c r="V42" s="25" t="s">
        <v>61</v>
      </c>
    </row>
    <row r="43" spans="1:22" x14ac:dyDescent="0.25">
      <c r="A43" s="25" t="s">
        <v>0</v>
      </c>
      <c r="B43" s="25" t="s">
        <v>159</v>
      </c>
      <c r="C43" s="25" t="s">
        <v>159</v>
      </c>
      <c r="D43" s="25" t="s">
        <v>159</v>
      </c>
      <c r="E43" s="25" t="s">
        <v>268</v>
      </c>
      <c r="F43" s="25" t="s">
        <v>50</v>
      </c>
      <c r="G43" s="25" t="s">
        <v>113</v>
      </c>
      <c r="H43" s="25" t="s">
        <v>52</v>
      </c>
      <c r="I43" s="25" t="s">
        <v>269</v>
      </c>
      <c r="J43" s="25" t="s">
        <v>270</v>
      </c>
      <c r="K43" s="29">
        <v>3490000</v>
      </c>
      <c r="L43" s="29">
        <v>345510</v>
      </c>
      <c r="M43" s="29">
        <v>314100</v>
      </c>
      <c r="N43" s="29">
        <v>31410</v>
      </c>
      <c r="O43" s="29">
        <v>3144490</v>
      </c>
      <c r="P43" s="25" t="s">
        <v>116</v>
      </c>
      <c r="Q43" s="25" t="s">
        <v>43</v>
      </c>
      <c r="R43" s="25" t="s">
        <v>271</v>
      </c>
      <c r="S43" s="25" t="s">
        <v>272</v>
      </c>
      <c r="T43" s="25" t="s">
        <v>39</v>
      </c>
      <c r="U43" s="25" t="s">
        <v>60</v>
      </c>
      <c r="V43" s="25" t="s">
        <v>61</v>
      </c>
    </row>
    <row r="44" spans="1:22" x14ac:dyDescent="0.25">
      <c r="A44" s="25" t="s">
        <v>0</v>
      </c>
      <c r="B44" s="25" t="s">
        <v>159</v>
      </c>
      <c r="C44" s="25" t="s">
        <v>159</v>
      </c>
      <c r="D44" s="25" t="s">
        <v>159</v>
      </c>
      <c r="E44" s="25" t="s">
        <v>273</v>
      </c>
      <c r="F44" s="25" t="s">
        <v>50</v>
      </c>
      <c r="G44" s="25" t="s">
        <v>113</v>
      </c>
      <c r="H44" s="25" t="s">
        <v>78</v>
      </c>
      <c r="I44" s="25" t="s">
        <v>274</v>
      </c>
      <c r="J44" s="25" t="s">
        <v>275</v>
      </c>
      <c r="K44" s="29">
        <v>3490000</v>
      </c>
      <c r="L44" s="29">
        <v>326315</v>
      </c>
      <c r="M44" s="29">
        <v>296650</v>
      </c>
      <c r="N44" s="29">
        <v>29665</v>
      </c>
      <c r="O44" s="29">
        <v>3163685</v>
      </c>
      <c r="P44" s="25" t="s">
        <v>116</v>
      </c>
      <c r="Q44" s="25" t="s">
        <v>43</v>
      </c>
      <c r="R44" s="25" t="s">
        <v>276</v>
      </c>
      <c r="S44" s="25" t="s">
        <v>277</v>
      </c>
      <c r="T44" s="25" t="s">
        <v>39</v>
      </c>
      <c r="U44" s="25" t="s">
        <v>278</v>
      </c>
      <c r="V44" s="25" t="s">
        <v>279</v>
      </c>
    </row>
    <row r="45" spans="1:22" x14ac:dyDescent="0.25">
      <c r="A45" s="25" t="s">
        <v>0</v>
      </c>
      <c r="B45" s="25" t="s">
        <v>159</v>
      </c>
      <c r="C45" s="25" t="s">
        <v>159</v>
      </c>
      <c r="D45" s="25" t="s">
        <v>159</v>
      </c>
      <c r="E45" s="25" t="s">
        <v>280</v>
      </c>
      <c r="F45" s="25" t="s">
        <v>50</v>
      </c>
      <c r="G45" s="25" t="s">
        <v>113</v>
      </c>
      <c r="H45" s="25" t="s">
        <v>78</v>
      </c>
      <c r="I45" s="25" t="s">
        <v>281</v>
      </c>
      <c r="J45" s="25" t="s">
        <v>282</v>
      </c>
      <c r="K45" s="29">
        <v>3490000</v>
      </c>
      <c r="L45" s="29">
        <v>103653</v>
      </c>
      <c r="M45" s="29">
        <v>94229.999999999985</v>
      </c>
      <c r="N45" s="29">
        <v>9423.0000000000146</v>
      </c>
      <c r="O45" s="29">
        <v>3386347</v>
      </c>
      <c r="P45" s="25" t="s">
        <v>116</v>
      </c>
      <c r="Q45" s="25" t="s">
        <v>43</v>
      </c>
      <c r="R45" s="25" t="s">
        <v>283</v>
      </c>
      <c r="S45" s="25" t="s">
        <v>284</v>
      </c>
      <c r="T45" s="25" t="s">
        <v>39</v>
      </c>
      <c r="U45" s="25" t="s">
        <v>94</v>
      </c>
      <c r="V45" s="25" t="s">
        <v>95</v>
      </c>
    </row>
    <row r="46" spans="1:22" x14ac:dyDescent="0.25">
      <c r="A46" s="25" t="s">
        <v>0</v>
      </c>
      <c r="B46" s="25" t="s">
        <v>159</v>
      </c>
      <c r="C46" s="25" t="s">
        <v>159</v>
      </c>
      <c r="D46" s="25" t="s">
        <v>159</v>
      </c>
      <c r="E46" s="25" t="s">
        <v>285</v>
      </c>
      <c r="F46" s="25" t="s">
        <v>50</v>
      </c>
      <c r="G46" s="25" t="s">
        <v>113</v>
      </c>
      <c r="H46" s="25" t="s">
        <v>87</v>
      </c>
      <c r="I46" s="25" t="s">
        <v>286</v>
      </c>
      <c r="J46" s="25" t="s">
        <v>287</v>
      </c>
      <c r="K46" s="29">
        <v>3490000</v>
      </c>
      <c r="L46" s="29">
        <v>103653</v>
      </c>
      <c r="M46" s="29">
        <v>94229.999999999985</v>
      </c>
      <c r="N46" s="29">
        <v>9423.0000000000146</v>
      </c>
      <c r="O46" s="29">
        <v>3386347</v>
      </c>
      <c r="P46" s="25" t="s">
        <v>116</v>
      </c>
      <c r="Q46" s="25" t="s">
        <v>43</v>
      </c>
      <c r="R46" s="25" t="s">
        <v>288</v>
      </c>
      <c r="S46" s="25" t="s">
        <v>289</v>
      </c>
      <c r="T46" s="25" t="s">
        <v>39</v>
      </c>
      <c r="U46" s="25" t="s">
        <v>94</v>
      </c>
      <c r="V46" s="25" t="s">
        <v>95</v>
      </c>
    </row>
    <row r="47" spans="1:22" x14ac:dyDescent="0.25">
      <c r="A47" s="25" t="s">
        <v>0</v>
      </c>
      <c r="B47" s="25" t="s">
        <v>159</v>
      </c>
      <c r="C47" s="25" t="s">
        <v>159</v>
      </c>
      <c r="D47" s="25" t="s">
        <v>159</v>
      </c>
      <c r="E47" s="25" t="s">
        <v>290</v>
      </c>
      <c r="F47" s="25" t="s">
        <v>50</v>
      </c>
      <c r="G47" s="25" t="s">
        <v>113</v>
      </c>
      <c r="H47" s="25" t="s">
        <v>98</v>
      </c>
      <c r="I47" s="25" t="s">
        <v>291</v>
      </c>
      <c r="J47" s="25" t="s">
        <v>292</v>
      </c>
      <c r="K47" s="29">
        <v>3490000</v>
      </c>
      <c r="L47" s="29">
        <v>345510</v>
      </c>
      <c r="M47" s="29">
        <v>314100</v>
      </c>
      <c r="N47" s="29">
        <v>31410</v>
      </c>
      <c r="O47" s="29">
        <v>3144490</v>
      </c>
      <c r="P47" s="25" t="s">
        <v>116</v>
      </c>
      <c r="Q47" s="25" t="s">
        <v>43</v>
      </c>
      <c r="R47" s="25" t="s">
        <v>293</v>
      </c>
      <c r="S47" s="25" t="s">
        <v>294</v>
      </c>
      <c r="T47" s="25" t="s">
        <v>39</v>
      </c>
      <c r="U47" s="25" t="s">
        <v>60</v>
      </c>
      <c r="V47" s="25" t="s">
        <v>61</v>
      </c>
    </row>
    <row r="48" spans="1:22" x14ac:dyDescent="0.25">
      <c r="A48" s="25" t="s">
        <v>0</v>
      </c>
      <c r="B48" s="25" t="s">
        <v>159</v>
      </c>
      <c r="C48" s="25" t="s">
        <v>159</v>
      </c>
      <c r="D48" s="25" t="s">
        <v>159</v>
      </c>
      <c r="E48" s="25" t="s">
        <v>295</v>
      </c>
      <c r="F48" s="25" t="s">
        <v>50</v>
      </c>
      <c r="G48" s="25" t="s">
        <v>113</v>
      </c>
      <c r="H48" s="25" t="s">
        <v>52</v>
      </c>
      <c r="I48" s="25" t="s">
        <v>296</v>
      </c>
      <c r="J48" s="25" t="s">
        <v>297</v>
      </c>
      <c r="K48" s="29">
        <v>3490000</v>
      </c>
      <c r="L48" s="29">
        <v>345510</v>
      </c>
      <c r="M48" s="29">
        <v>314100</v>
      </c>
      <c r="N48" s="29">
        <v>31410</v>
      </c>
      <c r="O48" s="29">
        <v>3144490</v>
      </c>
      <c r="P48" s="25" t="s">
        <v>116</v>
      </c>
      <c r="Q48" s="25" t="s">
        <v>43</v>
      </c>
      <c r="R48" s="25" t="s">
        <v>298</v>
      </c>
      <c r="S48" s="25" t="s">
        <v>299</v>
      </c>
      <c r="T48" s="25" t="s">
        <v>39</v>
      </c>
      <c r="U48" s="25" t="s">
        <v>60</v>
      </c>
      <c r="V48" s="25" t="s">
        <v>61</v>
      </c>
    </row>
    <row r="49" spans="1:22" x14ac:dyDescent="0.25">
      <c r="A49" s="25" t="s">
        <v>0</v>
      </c>
      <c r="B49" s="25" t="s">
        <v>159</v>
      </c>
      <c r="C49" s="25" t="s">
        <v>159</v>
      </c>
      <c r="D49" s="25" t="s">
        <v>159</v>
      </c>
      <c r="E49" s="25" t="s">
        <v>300</v>
      </c>
      <c r="F49" s="25" t="s">
        <v>50</v>
      </c>
      <c r="G49" s="25" t="s">
        <v>113</v>
      </c>
      <c r="H49" s="25" t="s">
        <v>78</v>
      </c>
      <c r="I49" s="25" t="s">
        <v>301</v>
      </c>
      <c r="J49" s="25" t="s">
        <v>302</v>
      </c>
      <c r="K49" s="29">
        <v>3490000</v>
      </c>
      <c r="L49" s="29">
        <v>103653</v>
      </c>
      <c r="M49" s="29">
        <v>94229.999999999985</v>
      </c>
      <c r="N49" s="29">
        <v>9423.0000000000146</v>
      </c>
      <c r="O49" s="29">
        <v>3386347</v>
      </c>
      <c r="P49" s="25" t="s">
        <v>116</v>
      </c>
      <c r="Q49" s="25" t="s">
        <v>43</v>
      </c>
      <c r="R49" s="25" t="s">
        <v>303</v>
      </c>
      <c r="S49" s="25" t="s">
        <v>304</v>
      </c>
      <c r="T49" s="25" t="s">
        <v>39</v>
      </c>
      <c r="U49" s="25" t="s">
        <v>94</v>
      </c>
      <c r="V49" s="25" t="s">
        <v>95</v>
      </c>
    </row>
    <row r="50" spans="1:22" x14ac:dyDescent="0.25">
      <c r="A50" s="25" t="s">
        <v>0</v>
      </c>
      <c r="B50" s="25" t="s">
        <v>159</v>
      </c>
      <c r="C50" s="25" t="s">
        <v>159</v>
      </c>
      <c r="D50" s="25" t="s">
        <v>159</v>
      </c>
      <c r="E50" s="25" t="s">
        <v>305</v>
      </c>
      <c r="F50" s="25" t="s">
        <v>50</v>
      </c>
      <c r="G50" s="25" t="s">
        <v>113</v>
      </c>
      <c r="H50" s="25" t="s">
        <v>196</v>
      </c>
      <c r="I50" s="25" t="s">
        <v>306</v>
      </c>
      <c r="J50" s="25" t="s">
        <v>307</v>
      </c>
      <c r="K50" s="29">
        <v>3490000</v>
      </c>
      <c r="L50" s="29">
        <v>345510</v>
      </c>
      <c r="M50" s="29">
        <v>314100</v>
      </c>
      <c r="N50" s="29">
        <v>31410</v>
      </c>
      <c r="O50" s="29">
        <v>3144490</v>
      </c>
      <c r="P50" s="25" t="s">
        <v>116</v>
      </c>
      <c r="Q50" s="25" t="s">
        <v>43</v>
      </c>
      <c r="R50" s="25" t="s">
        <v>308</v>
      </c>
      <c r="S50" s="25" t="s">
        <v>309</v>
      </c>
      <c r="T50" s="25" t="s">
        <v>39</v>
      </c>
      <c r="U50" s="25" t="s">
        <v>60</v>
      </c>
      <c r="V50" s="25" t="s">
        <v>61</v>
      </c>
    </row>
    <row r="51" spans="1:22" x14ac:dyDescent="0.25">
      <c r="A51" s="25" t="s">
        <v>0</v>
      </c>
      <c r="B51" s="25" t="s">
        <v>159</v>
      </c>
      <c r="C51" s="25" t="s">
        <v>159</v>
      </c>
      <c r="D51" s="25" t="s">
        <v>159</v>
      </c>
      <c r="E51" s="25" t="s">
        <v>310</v>
      </c>
      <c r="F51" s="25" t="s">
        <v>50</v>
      </c>
      <c r="G51" s="25" t="s">
        <v>64</v>
      </c>
      <c r="H51" s="25" t="s">
        <v>78</v>
      </c>
      <c r="I51" s="25" t="s">
        <v>212</v>
      </c>
      <c r="J51" s="25" t="s">
        <v>213</v>
      </c>
      <c r="K51" s="29">
        <v>-3490000</v>
      </c>
      <c r="L51" s="29">
        <v>-345510</v>
      </c>
      <c r="M51" s="29">
        <v>-314100</v>
      </c>
      <c r="N51" s="29">
        <v>-31410</v>
      </c>
      <c r="O51" s="29">
        <v>-3144490</v>
      </c>
      <c r="P51" s="25" t="s">
        <v>68</v>
      </c>
      <c r="Q51" s="25" t="s">
        <v>43</v>
      </c>
      <c r="R51" s="25" t="s">
        <v>311</v>
      </c>
      <c r="S51" s="25" t="s">
        <v>312</v>
      </c>
      <c r="T51" s="25" t="s">
        <v>39</v>
      </c>
      <c r="U51" s="25" t="s">
        <v>60</v>
      </c>
      <c r="V51" s="25" t="s">
        <v>61</v>
      </c>
    </row>
    <row r="52" spans="1:22" x14ac:dyDescent="0.25">
      <c r="A52" s="25" t="s">
        <v>0</v>
      </c>
      <c r="B52" s="25" t="s">
        <v>159</v>
      </c>
      <c r="C52" s="25" t="s">
        <v>159</v>
      </c>
      <c r="D52" s="25" t="s">
        <v>159</v>
      </c>
      <c r="E52" s="25" t="s">
        <v>313</v>
      </c>
      <c r="F52" s="25" t="s">
        <v>50</v>
      </c>
      <c r="G52" s="25" t="s">
        <v>113</v>
      </c>
      <c r="H52" s="25" t="s">
        <v>87</v>
      </c>
      <c r="I52" s="25" t="s">
        <v>314</v>
      </c>
      <c r="J52" s="25" t="s">
        <v>315</v>
      </c>
      <c r="K52" s="29">
        <v>3490000</v>
      </c>
      <c r="L52" s="29">
        <v>345510</v>
      </c>
      <c r="M52" s="29">
        <v>314100</v>
      </c>
      <c r="N52" s="29">
        <v>31410</v>
      </c>
      <c r="O52" s="29">
        <v>3144490</v>
      </c>
      <c r="P52" s="25" t="s">
        <v>116</v>
      </c>
      <c r="Q52" s="25" t="s">
        <v>43</v>
      </c>
      <c r="R52" s="25" t="s">
        <v>316</v>
      </c>
      <c r="S52" s="25" t="s">
        <v>317</v>
      </c>
      <c r="T52" s="25" t="s">
        <v>39</v>
      </c>
      <c r="U52" s="25" t="s">
        <v>60</v>
      </c>
      <c r="V52" s="25" t="s">
        <v>61</v>
      </c>
    </row>
    <row r="53" spans="1:22" x14ac:dyDescent="0.25">
      <c r="A53" s="25" t="s">
        <v>0</v>
      </c>
      <c r="B53" s="25" t="s">
        <v>159</v>
      </c>
      <c r="C53" s="25" t="s">
        <v>159</v>
      </c>
      <c r="D53" s="25" t="s">
        <v>159</v>
      </c>
      <c r="E53" s="25" t="s">
        <v>318</v>
      </c>
      <c r="F53" s="25" t="s">
        <v>50</v>
      </c>
      <c r="G53" s="25" t="s">
        <v>113</v>
      </c>
      <c r="H53" s="25" t="s">
        <v>78</v>
      </c>
      <c r="I53" s="25" t="s">
        <v>319</v>
      </c>
      <c r="J53" s="25" t="s">
        <v>320</v>
      </c>
      <c r="K53" s="29">
        <v>2690000</v>
      </c>
      <c r="L53" s="29">
        <v>79893</v>
      </c>
      <c r="M53" s="29">
        <v>72630</v>
      </c>
      <c r="N53" s="29">
        <v>7263</v>
      </c>
      <c r="O53" s="29">
        <v>2610107</v>
      </c>
      <c r="P53" s="25" t="s">
        <v>116</v>
      </c>
      <c r="Q53" s="25" t="s">
        <v>156</v>
      </c>
      <c r="R53" s="25" t="s">
        <v>321</v>
      </c>
      <c r="S53" s="25" t="s">
        <v>322</v>
      </c>
      <c r="T53" s="25" t="s">
        <v>39</v>
      </c>
      <c r="U53" s="25" t="s">
        <v>94</v>
      </c>
      <c r="V53" s="25" t="s">
        <v>95</v>
      </c>
    </row>
    <row r="54" spans="1:22" x14ac:dyDescent="0.25">
      <c r="A54" s="25" t="s">
        <v>0</v>
      </c>
      <c r="B54" s="25" t="s">
        <v>159</v>
      </c>
      <c r="C54" s="25" t="s">
        <v>159</v>
      </c>
      <c r="D54" s="25" t="s">
        <v>159</v>
      </c>
      <c r="E54" s="25" t="s">
        <v>323</v>
      </c>
      <c r="F54" s="25" t="s">
        <v>50</v>
      </c>
      <c r="G54" s="25" t="s">
        <v>113</v>
      </c>
      <c r="H54" s="25" t="s">
        <v>52</v>
      </c>
      <c r="I54" s="25" t="s">
        <v>324</v>
      </c>
      <c r="J54" s="25" t="s">
        <v>325</v>
      </c>
      <c r="K54" s="29">
        <v>3490000</v>
      </c>
      <c r="L54" s="29">
        <v>103653</v>
      </c>
      <c r="M54" s="29">
        <v>94229.999999999985</v>
      </c>
      <c r="N54" s="29">
        <v>9423.0000000000146</v>
      </c>
      <c r="O54" s="29">
        <v>3386347</v>
      </c>
      <c r="P54" s="25" t="s">
        <v>116</v>
      </c>
      <c r="Q54" s="25" t="s">
        <v>43</v>
      </c>
      <c r="R54" s="25" t="s">
        <v>326</v>
      </c>
      <c r="S54" s="25" t="s">
        <v>327</v>
      </c>
      <c r="T54" s="25" t="s">
        <v>39</v>
      </c>
      <c r="U54" s="25" t="s">
        <v>94</v>
      </c>
      <c r="V54" s="25" t="s">
        <v>95</v>
      </c>
    </row>
    <row r="55" spans="1:22" x14ac:dyDescent="0.25">
      <c r="A55" s="25" t="s">
        <v>0</v>
      </c>
      <c r="B55" s="25" t="s">
        <v>159</v>
      </c>
      <c r="C55" s="25" t="s">
        <v>159</v>
      </c>
      <c r="D55" s="25" t="s">
        <v>159</v>
      </c>
      <c r="E55" s="25" t="s">
        <v>310</v>
      </c>
      <c r="F55" s="25" t="s">
        <v>50</v>
      </c>
      <c r="G55" s="25" t="s">
        <v>113</v>
      </c>
      <c r="H55" s="25" t="s">
        <v>78</v>
      </c>
      <c r="I55" s="25" t="s">
        <v>212</v>
      </c>
      <c r="J55" s="25" t="s">
        <v>213</v>
      </c>
      <c r="K55" s="29">
        <v>3490000</v>
      </c>
      <c r="L55" s="29">
        <v>345510</v>
      </c>
      <c r="M55" s="29">
        <v>314100</v>
      </c>
      <c r="N55" s="29">
        <v>31410</v>
      </c>
      <c r="O55" s="29">
        <v>3144490</v>
      </c>
      <c r="P55" s="25" t="s">
        <v>116</v>
      </c>
      <c r="Q55" s="25" t="s">
        <v>43</v>
      </c>
      <c r="R55" s="25" t="s">
        <v>311</v>
      </c>
      <c r="S55" s="25" t="s">
        <v>312</v>
      </c>
      <c r="T55" s="25" t="s">
        <v>39</v>
      </c>
      <c r="U55" s="25" t="s">
        <v>60</v>
      </c>
      <c r="V55" s="25" t="s">
        <v>61</v>
      </c>
    </row>
    <row r="56" spans="1:22" x14ac:dyDescent="0.25">
      <c r="A56" s="25" t="s">
        <v>0</v>
      </c>
      <c r="B56" s="25" t="s">
        <v>159</v>
      </c>
      <c r="C56" s="25" t="s">
        <v>159</v>
      </c>
      <c r="D56" s="25" t="s">
        <v>159</v>
      </c>
      <c r="E56" s="25" t="s">
        <v>328</v>
      </c>
      <c r="F56" s="25" t="s">
        <v>50</v>
      </c>
      <c r="G56" s="25" t="s">
        <v>113</v>
      </c>
      <c r="H56" s="25" t="s">
        <v>196</v>
      </c>
      <c r="I56" s="25" t="s">
        <v>329</v>
      </c>
      <c r="J56" s="25" t="s">
        <v>330</v>
      </c>
      <c r="K56" s="29">
        <v>3490000</v>
      </c>
      <c r="L56" s="29">
        <v>345510</v>
      </c>
      <c r="M56" s="29">
        <v>314100</v>
      </c>
      <c r="N56" s="29">
        <v>31410</v>
      </c>
      <c r="O56" s="29">
        <v>3144490</v>
      </c>
      <c r="P56" s="25" t="s">
        <v>116</v>
      </c>
      <c r="Q56" s="25" t="s">
        <v>43</v>
      </c>
      <c r="R56" s="25" t="s">
        <v>331</v>
      </c>
      <c r="S56" s="25" t="s">
        <v>332</v>
      </c>
      <c r="T56" s="25" t="s">
        <v>39</v>
      </c>
      <c r="U56" s="25" t="s">
        <v>60</v>
      </c>
      <c r="V56" s="25" t="s">
        <v>61</v>
      </c>
    </row>
    <row r="57" spans="1:22" x14ac:dyDescent="0.25">
      <c r="A57" s="25" t="s">
        <v>0</v>
      </c>
      <c r="B57" s="25" t="s">
        <v>159</v>
      </c>
      <c r="C57" s="25" t="s">
        <v>159</v>
      </c>
      <c r="D57" s="25" t="s">
        <v>159</v>
      </c>
      <c r="E57" s="25" t="s">
        <v>333</v>
      </c>
      <c r="F57" s="25" t="s">
        <v>50</v>
      </c>
      <c r="G57" s="25" t="s">
        <v>113</v>
      </c>
      <c r="H57" s="25" t="s">
        <v>52</v>
      </c>
      <c r="I57" s="25" t="s">
        <v>334</v>
      </c>
      <c r="J57" s="25" t="s">
        <v>335</v>
      </c>
      <c r="K57" s="29">
        <v>3490000</v>
      </c>
      <c r="L57" s="29">
        <v>103653</v>
      </c>
      <c r="M57" s="29">
        <v>94229.999999999985</v>
      </c>
      <c r="N57" s="29">
        <v>9423.0000000000146</v>
      </c>
      <c r="O57" s="29">
        <v>3386347</v>
      </c>
      <c r="P57" s="25" t="s">
        <v>116</v>
      </c>
      <c r="Q57" s="25" t="s">
        <v>43</v>
      </c>
      <c r="R57" s="25" t="s">
        <v>336</v>
      </c>
      <c r="S57" s="25" t="s">
        <v>337</v>
      </c>
      <c r="T57" s="25" t="s">
        <v>39</v>
      </c>
      <c r="U57" s="25" t="s">
        <v>94</v>
      </c>
      <c r="V57" s="25" t="s">
        <v>95</v>
      </c>
    </row>
    <row r="58" spans="1:22" x14ac:dyDescent="0.25">
      <c r="A58" s="25" t="s">
        <v>0</v>
      </c>
      <c r="B58" s="25" t="s">
        <v>159</v>
      </c>
      <c r="C58" s="25" t="s">
        <v>159</v>
      </c>
      <c r="D58" s="25" t="s">
        <v>159</v>
      </c>
      <c r="E58" s="25" t="s">
        <v>170</v>
      </c>
      <c r="F58" s="25" t="s">
        <v>50</v>
      </c>
      <c r="G58" s="25" t="s">
        <v>113</v>
      </c>
      <c r="H58" s="25" t="s">
        <v>87</v>
      </c>
      <c r="I58" s="25" t="s">
        <v>171</v>
      </c>
      <c r="J58" s="25" t="s">
        <v>172</v>
      </c>
      <c r="K58" s="29">
        <v>3490000</v>
      </c>
      <c r="L58" s="29">
        <v>345510</v>
      </c>
      <c r="M58" s="29">
        <v>314100</v>
      </c>
      <c r="N58" s="29">
        <v>31410</v>
      </c>
      <c r="O58" s="29">
        <v>3144490</v>
      </c>
      <c r="P58" s="25" t="s">
        <v>116</v>
      </c>
      <c r="Q58" s="25" t="s">
        <v>43</v>
      </c>
      <c r="R58" s="25" t="s">
        <v>173</v>
      </c>
      <c r="S58" s="25" t="s">
        <v>174</v>
      </c>
      <c r="T58" s="25" t="s">
        <v>39</v>
      </c>
      <c r="U58" s="25" t="s">
        <v>60</v>
      </c>
      <c r="V58" s="25" t="s">
        <v>61</v>
      </c>
    </row>
    <row r="59" spans="1:22" x14ac:dyDescent="0.25">
      <c r="A59" s="25" t="s">
        <v>0</v>
      </c>
      <c r="B59" s="25" t="s">
        <v>159</v>
      </c>
      <c r="C59" s="25" t="s">
        <v>159</v>
      </c>
      <c r="D59" s="25" t="s">
        <v>159</v>
      </c>
      <c r="E59" s="25" t="s">
        <v>338</v>
      </c>
      <c r="F59" s="25" t="s">
        <v>50</v>
      </c>
      <c r="G59" s="25" t="s">
        <v>113</v>
      </c>
      <c r="H59" s="25" t="s">
        <v>121</v>
      </c>
      <c r="I59" s="25" t="s">
        <v>339</v>
      </c>
      <c r="J59" s="25" t="s">
        <v>340</v>
      </c>
      <c r="K59" s="29">
        <v>2690000</v>
      </c>
      <c r="L59" s="29">
        <v>266310</v>
      </c>
      <c r="M59" s="29">
        <v>242099.99999999997</v>
      </c>
      <c r="N59" s="29">
        <v>24210.000000000029</v>
      </c>
      <c r="O59" s="29">
        <v>2423690</v>
      </c>
      <c r="P59" s="25" t="s">
        <v>116</v>
      </c>
      <c r="Q59" s="25" t="s">
        <v>156</v>
      </c>
      <c r="R59" s="25" t="s">
        <v>341</v>
      </c>
      <c r="S59" s="25" t="s">
        <v>342</v>
      </c>
      <c r="T59" s="25" t="s">
        <v>39</v>
      </c>
      <c r="U59" s="25" t="s">
        <v>60</v>
      </c>
      <c r="V59" s="25" t="s">
        <v>61</v>
      </c>
    </row>
    <row r="60" spans="1:22" x14ac:dyDescent="0.25">
      <c r="A60" s="25" t="s">
        <v>0</v>
      </c>
      <c r="B60" s="25" t="s">
        <v>159</v>
      </c>
      <c r="C60" s="25" t="s">
        <v>159</v>
      </c>
      <c r="D60" s="25" t="s">
        <v>159</v>
      </c>
      <c r="E60" s="25" t="s">
        <v>343</v>
      </c>
      <c r="F60" s="25" t="s">
        <v>50</v>
      </c>
      <c r="G60" s="25" t="s">
        <v>113</v>
      </c>
      <c r="H60" s="25" t="s">
        <v>217</v>
      </c>
      <c r="I60" s="25" t="s">
        <v>344</v>
      </c>
      <c r="J60" s="25" t="s">
        <v>345</v>
      </c>
      <c r="K60" s="29">
        <v>2690000</v>
      </c>
      <c r="L60" s="29">
        <v>266310</v>
      </c>
      <c r="M60" s="29">
        <v>242099.99999999997</v>
      </c>
      <c r="N60" s="29">
        <v>24210.000000000029</v>
      </c>
      <c r="O60" s="29">
        <v>2423690</v>
      </c>
      <c r="P60" s="25" t="s">
        <v>116</v>
      </c>
      <c r="Q60" s="25" t="s">
        <v>156</v>
      </c>
      <c r="R60" s="25" t="s">
        <v>346</v>
      </c>
      <c r="S60" s="25" t="s">
        <v>347</v>
      </c>
      <c r="T60" s="25" t="s">
        <v>39</v>
      </c>
      <c r="U60" s="25" t="s">
        <v>60</v>
      </c>
      <c r="V60" s="25" t="s">
        <v>61</v>
      </c>
    </row>
    <row r="61" spans="1:22" x14ac:dyDescent="0.25">
      <c r="A61" s="25" t="s">
        <v>0</v>
      </c>
      <c r="B61" s="25" t="s">
        <v>159</v>
      </c>
      <c r="C61" s="25" t="s">
        <v>159</v>
      </c>
      <c r="D61" s="25" t="s">
        <v>159</v>
      </c>
      <c r="E61" s="25" t="s">
        <v>348</v>
      </c>
      <c r="F61" s="25" t="s">
        <v>50</v>
      </c>
      <c r="G61" s="25" t="s">
        <v>113</v>
      </c>
      <c r="H61" s="25" t="s">
        <v>87</v>
      </c>
      <c r="I61" s="25" t="s">
        <v>186</v>
      </c>
      <c r="J61" s="25" t="s">
        <v>187</v>
      </c>
      <c r="K61" s="29">
        <v>2690000</v>
      </c>
      <c r="L61" s="29">
        <v>266310</v>
      </c>
      <c r="M61" s="29">
        <v>242099.99999999997</v>
      </c>
      <c r="N61" s="29">
        <v>24210.000000000029</v>
      </c>
      <c r="O61" s="29">
        <v>2423690</v>
      </c>
      <c r="P61" s="25" t="s">
        <v>116</v>
      </c>
      <c r="Q61" s="25" t="s">
        <v>156</v>
      </c>
      <c r="R61" s="25" t="s">
        <v>349</v>
      </c>
      <c r="S61" s="25" t="s">
        <v>350</v>
      </c>
      <c r="T61" s="25" t="s">
        <v>39</v>
      </c>
      <c r="U61" s="25" t="s">
        <v>60</v>
      </c>
      <c r="V61" s="25" t="s">
        <v>61</v>
      </c>
    </row>
    <row r="62" spans="1:22" x14ac:dyDescent="0.25">
      <c r="A62" s="25" t="s">
        <v>0</v>
      </c>
      <c r="B62" s="25" t="s">
        <v>159</v>
      </c>
      <c r="C62" s="25" t="s">
        <v>159</v>
      </c>
      <c r="D62" s="25" t="s">
        <v>159</v>
      </c>
      <c r="E62" s="25" t="s">
        <v>351</v>
      </c>
      <c r="F62" s="25" t="s">
        <v>50</v>
      </c>
      <c r="G62" s="25" t="s">
        <v>113</v>
      </c>
      <c r="H62" s="25" t="s">
        <v>87</v>
      </c>
      <c r="I62" s="25" t="s">
        <v>171</v>
      </c>
      <c r="J62" s="25" t="s">
        <v>172</v>
      </c>
      <c r="K62" s="29">
        <v>2690000</v>
      </c>
      <c r="L62" s="29">
        <v>266310</v>
      </c>
      <c r="M62" s="29">
        <v>242099.99999999997</v>
      </c>
      <c r="N62" s="29">
        <v>24210.000000000029</v>
      </c>
      <c r="O62" s="29">
        <v>2423690</v>
      </c>
      <c r="P62" s="25" t="s">
        <v>116</v>
      </c>
      <c r="Q62" s="25" t="s">
        <v>156</v>
      </c>
      <c r="R62" s="25" t="s">
        <v>352</v>
      </c>
      <c r="S62" s="25" t="s">
        <v>353</v>
      </c>
      <c r="T62" s="25" t="s">
        <v>39</v>
      </c>
      <c r="U62" s="25" t="s">
        <v>60</v>
      </c>
      <c r="V62" s="25" t="s">
        <v>61</v>
      </c>
    </row>
    <row r="63" spans="1:22" x14ac:dyDescent="0.25">
      <c r="A63" s="25" t="s">
        <v>0</v>
      </c>
      <c r="B63" s="25" t="s">
        <v>159</v>
      </c>
      <c r="C63" s="25" t="s">
        <v>159</v>
      </c>
      <c r="D63" s="25" t="s">
        <v>159</v>
      </c>
      <c r="E63" s="25" t="s">
        <v>354</v>
      </c>
      <c r="F63" s="25" t="s">
        <v>50</v>
      </c>
      <c r="G63" s="25" t="s">
        <v>113</v>
      </c>
      <c r="H63" s="25" t="s">
        <v>121</v>
      </c>
      <c r="I63" s="25" t="s">
        <v>355</v>
      </c>
      <c r="J63" s="25" t="s">
        <v>356</v>
      </c>
      <c r="K63" s="29">
        <v>3490000</v>
      </c>
      <c r="L63" s="29">
        <v>345510</v>
      </c>
      <c r="M63" s="29">
        <v>314100</v>
      </c>
      <c r="N63" s="29">
        <v>31410</v>
      </c>
      <c r="O63" s="29">
        <v>3144490</v>
      </c>
      <c r="P63" s="25" t="s">
        <v>116</v>
      </c>
      <c r="Q63" s="25" t="s">
        <v>43</v>
      </c>
      <c r="R63" s="25" t="s">
        <v>357</v>
      </c>
      <c r="S63" s="25" t="s">
        <v>358</v>
      </c>
      <c r="T63" s="25" t="s">
        <v>39</v>
      </c>
      <c r="U63" s="25" t="s">
        <v>60</v>
      </c>
      <c r="V63" s="25" t="s">
        <v>61</v>
      </c>
    </row>
    <row r="64" spans="1:22" x14ac:dyDescent="0.25">
      <c r="A64" s="25" t="s">
        <v>0</v>
      </c>
      <c r="B64" s="25" t="s">
        <v>159</v>
      </c>
      <c r="C64" s="25" t="s">
        <v>159</v>
      </c>
      <c r="D64" s="25" t="s">
        <v>159</v>
      </c>
      <c r="E64" s="25" t="s">
        <v>359</v>
      </c>
      <c r="F64" s="25" t="s">
        <v>50</v>
      </c>
      <c r="G64" s="25" t="s">
        <v>113</v>
      </c>
      <c r="H64" s="25" t="s">
        <v>98</v>
      </c>
      <c r="I64" s="25" t="s">
        <v>360</v>
      </c>
      <c r="J64" s="25" t="s">
        <v>361</v>
      </c>
      <c r="K64" s="29">
        <v>3490000</v>
      </c>
      <c r="L64" s="29">
        <v>103653</v>
      </c>
      <c r="M64" s="29">
        <v>94229.999999999985</v>
      </c>
      <c r="N64" s="29">
        <v>9423.0000000000146</v>
      </c>
      <c r="O64" s="29">
        <v>3386347</v>
      </c>
      <c r="P64" s="25" t="s">
        <v>116</v>
      </c>
      <c r="Q64" s="25" t="s">
        <v>43</v>
      </c>
      <c r="R64" s="25" t="s">
        <v>362</v>
      </c>
      <c r="S64" s="25" t="s">
        <v>363</v>
      </c>
      <c r="T64" s="25" t="s">
        <v>39</v>
      </c>
      <c r="U64" s="25" t="s">
        <v>94</v>
      </c>
      <c r="V64" s="25" t="s">
        <v>95</v>
      </c>
    </row>
    <row r="65" spans="1:22" x14ac:dyDescent="0.25">
      <c r="A65" s="25" t="s">
        <v>0</v>
      </c>
      <c r="B65" s="25" t="s">
        <v>159</v>
      </c>
      <c r="C65" s="25" t="s">
        <v>159</v>
      </c>
      <c r="D65" s="25" t="s">
        <v>159</v>
      </c>
      <c r="E65" s="25" t="s">
        <v>364</v>
      </c>
      <c r="F65" s="25" t="s">
        <v>50</v>
      </c>
      <c r="G65" s="25" t="s">
        <v>113</v>
      </c>
      <c r="H65" s="25" t="s">
        <v>196</v>
      </c>
      <c r="I65" s="25" t="s">
        <v>365</v>
      </c>
      <c r="J65" s="25" t="s">
        <v>366</v>
      </c>
      <c r="K65" s="29">
        <v>3490000</v>
      </c>
      <c r="L65" s="29">
        <v>345510</v>
      </c>
      <c r="M65" s="29">
        <v>314100</v>
      </c>
      <c r="N65" s="29">
        <v>31410</v>
      </c>
      <c r="O65" s="29">
        <v>3144490</v>
      </c>
      <c r="P65" s="25" t="s">
        <v>116</v>
      </c>
      <c r="Q65" s="25" t="s">
        <v>43</v>
      </c>
      <c r="R65" s="25" t="s">
        <v>367</v>
      </c>
      <c r="S65" s="25" t="s">
        <v>368</v>
      </c>
      <c r="T65" s="25" t="s">
        <v>39</v>
      </c>
      <c r="U65" s="25" t="s">
        <v>60</v>
      </c>
      <c r="V65" s="25" t="s">
        <v>61</v>
      </c>
    </row>
    <row r="66" spans="1:22" x14ac:dyDescent="0.25">
      <c r="A66" s="25" t="s">
        <v>0</v>
      </c>
      <c r="B66" s="25" t="s">
        <v>159</v>
      </c>
      <c r="C66" s="25" t="s">
        <v>159</v>
      </c>
      <c r="D66" s="25" t="s">
        <v>159</v>
      </c>
      <c r="E66" s="25" t="s">
        <v>369</v>
      </c>
      <c r="F66" s="25" t="s">
        <v>50</v>
      </c>
      <c r="G66" s="25" t="s">
        <v>113</v>
      </c>
      <c r="H66" s="25" t="s">
        <v>52</v>
      </c>
      <c r="I66" s="25" t="s">
        <v>370</v>
      </c>
      <c r="J66" s="25" t="s">
        <v>371</v>
      </c>
      <c r="K66" s="29">
        <v>3490000</v>
      </c>
      <c r="L66" s="29">
        <v>345510</v>
      </c>
      <c r="M66" s="29">
        <v>314100</v>
      </c>
      <c r="N66" s="29">
        <v>31410</v>
      </c>
      <c r="O66" s="29">
        <v>3144490</v>
      </c>
      <c r="P66" s="25" t="s">
        <v>116</v>
      </c>
      <c r="Q66" s="25" t="s">
        <v>43</v>
      </c>
      <c r="R66" s="25" t="s">
        <v>372</v>
      </c>
      <c r="S66" s="25" t="s">
        <v>373</v>
      </c>
      <c r="T66" s="25" t="s">
        <v>39</v>
      </c>
      <c r="U66" s="25" t="s">
        <v>60</v>
      </c>
      <c r="V66" s="25" t="s">
        <v>61</v>
      </c>
    </row>
    <row r="67" spans="1:22" x14ac:dyDescent="0.25">
      <c r="A67" s="25" t="s">
        <v>0</v>
      </c>
      <c r="B67" s="25" t="s">
        <v>159</v>
      </c>
      <c r="C67" s="25" t="s">
        <v>159</v>
      </c>
      <c r="D67" s="25" t="s">
        <v>159</v>
      </c>
      <c r="E67" s="25" t="s">
        <v>374</v>
      </c>
      <c r="F67" s="25" t="s">
        <v>50</v>
      </c>
      <c r="G67" s="25" t="s">
        <v>113</v>
      </c>
      <c r="H67" s="25" t="s">
        <v>52</v>
      </c>
      <c r="I67" s="25" t="s">
        <v>375</v>
      </c>
      <c r="J67" s="25" t="s">
        <v>376</v>
      </c>
      <c r="K67" s="29">
        <v>3490000</v>
      </c>
      <c r="L67" s="29">
        <v>345510</v>
      </c>
      <c r="M67" s="29">
        <v>314100</v>
      </c>
      <c r="N67" s="29">
        <v>31410</v>
      </c>
      <c r="O67" s="29">
        <v>3144490</v>
      </c>
      <c r="P67" s="25" t="s">
        <v>116</v>
      </c>
      <c r="Q67" s="25" t="s">
        <v>43</v>
      </c>
      <c r="R67" s="25" t="s">
        <v>377</v>
      </c>
      <c r="S67" s="25" t="s">
        <v>378</v>
      </c>
      <c r="T67" s="25" t="s">
        <v>39</v>
      </c>
      <c r="U67" s="25" t="s">
        <v>60</v>
      </c>
      <c r="V67" s="25" t="s">
        <v>61</v>
      </c>
    </row>
    <row r="68" spans="1:22" x14ac:dyDescent="0.25">
      <c r="A68" s="25" t="s">
        <v>0</v>
      </c>
      <c r="B68" s="25" t="s">
        <v>159</v>
      </c>
      <c r="C68" s="25" t="s">
        <v>159</v>
      </c>
      <c r="D68" s="25" t="s">
        <v>159</v>
      </c>
      <c r="E68" s="25" t="s">
        <v>185</v>
      </c>
      <c r="F68" s="25" t="s">
        <v>50</v>
      </c>
      <c r="G68" s="25" t="s">
        <v>113</v>
      </c>
      <c r="H68" s="25" t="s">
        <v>87</v>
      </c>
      <c r="I68" s="25" t="s">
        <v>186</v>
      </c>
      <c r="J68" s="25" t="s">
        <v>187</v>
      </c>
      <c r="K68" s="29">
        <v>3490000</v>
      </c>
      <c r="L68" s="29">
        <v>103653</v>
      </c>
      <c r="M68" s="29">
        <v>94229.999999999985</v>
      </c>
      <c r="N68" s="29">
        <v>9423.0000000000146</v>
      </c>
      <c r="O68" s="29">
        <v>3386347</v>
      </c>
      <c r="P68" s="25" t="s">
        <v>116</v>
      </c>
      <c r="Q68" s="25" t="s">
        <v>43</v>
      </c>
      <c r="R68" s="25" t="s">
        <v>188</v>
      </c>
      <c r="S68" s="25" t="s">
        <v>189</v>
      </c>
      <c r="T68" s="25" t="s">
        <v>39</v>
      </c>
      <c r="U68" s="25" t="s">
        <v>94</v>
      </c>
      <c r="V68" s="25" t="s">
        <v>95</v>
      </c>
    </row>
    <row r="69" spans="1:22" x14ac:dyDescent="0.25">
      <c r="A69" s="25" t="s">
        <v>0</v>
      </c>
      <c r="B69" s="25" t="s">
        <v>159</v>
      </c>
      <c r="C69" s="25" t="s">
        <v>159</v>
      </c>
      <c r="D69" s="25" t="s">
        <v>159</v>
      </c>
      <c r="E69" s="25" t="s">
        <v>379</v>
      </c>
      <c r="F69" s="25" t="s">
        <v>50</v>
      </c>
      <c r="G69" s="25" t="s">
        <v>113</v>
      </c>
      <c r="H69" s="25" t="s">
        <v>196</v>
      </c>
      <c r="I69" s="25" t="s">
        <v>380</v>
      </c>
      <c r="J69" s="25" t="s">
        <v>381</v>
      </c>
      <c r="K69" s="29">
        <v>3490000</v>
      </c>
      <c r="L69" s="29">
        <v>103653</v>
      </c>
      <c r="M69" s="29">
        <v>94229.999999999985</v>
      </c>
      <c r="N69" s="29">
        <v>9423.0000000000146</v>
      </c>
      <c r="O69" s="29">
        <v>3386347</v>
      </c>
      <c r="P69" s="25" t="s">
        <v>116</v>
      </c>
      <c r="Q69" s="25" t="s">
        <v>43</v>
      </c>
      <c r="R69" s="25" t="s">
        <v>382</v>
      </c>
      <c r="S69" s="25" t="s">
        <v>383</v>
      </c>
      <c r="T69" s="25" t="s">
        <v>39</v>
      </c>
      <c r="U69" s="25" t="s">
        <v>94</v>
      </c>
      <c r="V69" s="25" t="s">
        <v>95</v>
      </c>
    </row>
    <row r="70" spans="1:22" x14ac:dyDescent="0.25">
      <c r="A70" s="25" t="s">
        <v>0</v>
      </c>
      <c r="B70" s="25" t="s">
        <v>159</v>
      </c>
      <c r="C70" s="25" t="s">
        <v>159</v>
      </c>
      <c r="D70" s="25" t="s">
        <v>159</v>
      </c>
      <c r="E70" s="25" t="s">
        <v>384</v>
      </c>
      <c r="F70" s="25" t="s">
        <v>50</v>
      </c>
      <c r="G70" s="25" t="s">
        <v>113</v>
      </c>
      <c r="H70" s="25" t="s">
        <v>78</v>
      </c>
      <c r="I70" s="25" t="s">
        <v>385</v>
      </c>
      <c r="J70" s="25" t="s">
        <v>386</v>
      </c>
      <c r="K70" s="29">
        <v>3490000</v>
      </c>
      <c r="L70" s="29">
        <v>345510</v>
      </c>
      <c r="M70" s="29">
        <v>314100</v>
      </c>
      <c r="N70" s="29">
        <v>31410</v>
      </c>
      <c r="O70" s="29">
        <v>3144490</v>
      </c>
      <c r="P70" s="25" t="s">
        <v>116</v>
      </c>
      <c r="Q70" s="25" t="s">
        <v>43</v>
      </c>
      <c r="R70" s="25" t="s">
        <v>387</v>
      </c>
      <c r="S70" s="25" t="s">
        <v>388</v>
      </c>
      <c r="T70" s="25" t="s">
        <v>39</v>
      </c>
      <c r="U70" s="25" t="s">
        <v>60</v>
      </c>
      <c r="V70" s="25" t="s">
        <v>61</v>
      </c>
    </row>
    <row r="71" spans="1:22" x14ac:dyDescent="0.25">
      <c r="A71" s="25" t="s">
        <v>0</v>
      </c>
      <c r="B71" s="25" t="s">
        <v>159</v>
      </c>
      <c r="C71" s="25" t="s">
        <v>159</v>
      </c>
      <c r="D71" s="25" t="s">
        <v>159</v>
      </c>
      <c r="E71" s="25" t="s">
        <v>389</v>
      </c>
      <c r="F71" s="25" t="s">
        <v>50</v>
      </c>
      <c r="G71" s="25" t="s">
        <v>113</v>
      </c>
      <c r="H71" s="25" t="s">
        <v>196</v>
      </c>
      <c r="I71" s="25" t="s">
        <v>390</v>
      </c>
      <c r="J71" s="25" t="s">
        <v>391</v>
      </c>
      <c r="K71" s="29">
        <v>2690000</v>
      </c>
      <c r="L71" s="29">
        <v>79893</v>
      </c>
      <c r="M71" s="29">
        <v>72630</v>
      </c>
      <c r="N71" s="29">
        <v>7263</v>
      </c>
      <c r="O71" s="29">
        <v>2610107</v>
      </c>
      <c r="P71" s="25" t="s">
        <v>116</v>
      </c>
      <c r="Q71" s="25" t="s">
        <v>156</v>
      </c>
      <c r="R71" s="25" t="s">
        <v>392</v>
      </c>
      <c r="S71" s="25" t="s">
        <v>393</v>
      </c>
      <c r="T71" s="25" t="s">
        <v>39</v>
      </c>
      <c r="U71" s="25" t="s">
        <v>94</v>
      </c>
      <c r="V71" s="25" t="s">
        <v>95</v>
      </c>
    </row>
    <row r="72" spans="1:22" x14ac:dyDescent="0.25">
      <c r="A72" s="25" t="s">
        <v>0</v>
      </c>
      <c r="B72" s="25" t="s">
        <v>159</v>
      </c>
      <c r="C72" s="25" t="s">
        <v>159</v>
      </c>
      <c r="D72" s="25" t="s">
        <v>159</v>
      </c>
      <c r="E72" s="25" t="s">
        <v>394</v>
      </c>
      <c r="F72" s="25" t="s">
        <v>50</v>
      </c>
      <c r="G72" s="25" t="s">
        <v>113</v>
      </c>
      <c r="H72" s="25" t="s">
        <v>196</v>
      </c>
      <c r="I72" s="25" t="s">
        <v>259</v>
      </c>
      <c r="J72" s="25" t="s">
        <v>260</v>
      </c>
      <c r="K72" s="29">
        <v>2000000</v>
      </c>
      <c r="L72" s="29">
        <v>59400</v>
      </c>
      <c r="M72" s="29">
        <v>53999.999999999993</v>
      </c>
      <c r="N72" s="29">
        <v>5400.0000000000073</v>
      </c>
      <c r="O72" s="29">
        <v>1940600</v>
      </c>
      <c r="P72" s="25" t="s">
        <v>116</v>
      </c>
      <c r="Q72" s="25" t="s">
        <v>43</v>
      </c>
      <c r="R72" s="25" t="s">
        <v>395</v>
      </c>
      <c r="S72" s="25" t="s">
        <v>396</v>
      </c>
      <c r="T72" s="25" t="s">
        <v>39</v>
      </c>
      <c r="U72" s="25" t="s">
        <v>94</v>
      </c>
      <c r="V72" s="25" t="s">
        <v>95</v>
      </c>
    </row>
    <row r="73" spans="1:22" x14ac:dyDescent="0.25">
      <c r="A73" s="25" t="s">
        <v>0</v>
      </c>
      <c r="B73" s="25" t="s">
        <v>159</v>
      </c>
      <c r="C73" s="25" t="s">
        <v>159</v>
      </c>
      <c r="D73" s="25" t="s">
        <v>159</v>
      </c>
      <c r="E73" s="25" t="s">
        <v>397</v>
      </c>
      <c r="F73" s="25" t="s">
        <v>128</v>
      </c>
      <c r="G73" s="25" t="s">
        <v>113</v>
      </c>
      <c r="H73" s="25" t="s">
        <v>398</v>
      </c>
      <c r="I73" s="25" t="s">
        <v>399</v>
      </c>
      <c r="J73" s="25" t="s">
        <v>400</v>
      </c>
      <c r="K73" s="29">
        <v>3490000</v>
      </c>
      <c r="L73" s="29">
        <v>440</v>
      </c>
      <c r="M73" s="29">
        <v>399.99999999999994</v>
      </c>
      <c r="N73" s="29">
        <v>40.000000000000057</v>
      </c>
      <c r="O73" s="29">
        <v>3489560</v>
      </c>
      <c r="P73" s="25" t="s">
        <v>132</v>
      </c>
      <c r="Q73" s="25" t="s">
        <v>43</v>
      </c>
      <c r="R73" s="25" t="s">
        <v>132</v>
      </c>
      <c r="S73" s="25" t="s">
        <v>401</v>
      </c>
      <c r="T73" s="25" t="s">
        <v>39</v>
      </c>
      <c r="U73" s="25">
        <v>440</v>
      </c>
      <c r="V73" s="25" t="s">
        <v>132</v>
      </c>
    </row>
    <row r="74" spans="1:22" x14ac:dyDescent="0.25">
      <c r="A74" s="25" t="s">
        <v>0</v>
      </c>
      <c r="B74" s="25" t="s">
        <v>159</v>
      </c>
      <c r="C74" s="25" t="s">
        <v>159</v>
      </c>
      <c r="D74" s="25" t="s">
        <v>159</v>
      </c>
      <c r="E74" s="25" t="s">
        <v>402</v>
      </c>
      <c r="F74" s="25" t="s">
        <v>128</v>
      </c>
      <c r="G74" s="25" t="s">
        <v>113</v>
      </c>
      <c r="H74" s="25" t="s">
        <v>403</v>
      </c>
      <c r="I74" s="25" t="s">
        <v>404</v>
      </c>
      <c r="J74" s="25" t="s">
        <v>405</v>
      </c>
      <c r="K74" s="29">
        <v>2690000</v>
      </c>
      <c r="L74" s="29">
        <v>440</v>
      </c>
      <c r="M74" s="29">
        <v>399.99999999999994</v>
      </c>
      <c r="N74" s="29">
        <v>40.000000000000057</v>
      </c>
      <c r="O74" s="29">
        <v>2689560</v>
      </c>
      <c r="P74" s="25" t="s">
        <v>132</v>
      </c>
      <c r="Q74" s="25" t="s">
        <v>156</v>
      </c>
      <c r="R74" s="25" t="s">
        <v>132</v>
      </c>
      <c r="S74" s="25" t="s">
        <v>406</v>
      </c>
      <c r="T74" s="25" t="s">
        <v>39</v>
      </c>
      <c r="U74" s="25">
        <v>440</v>
      </c>
      <c r="V74" s="25" t="s">
        <v>132</v>
      </c>
    </row>
    <row r="75" spans="1:22" x14ac:dyDescent="0.25">
      <c r="A75" s="25" t="s">
        <v>0</v>
      </c>
      <c r="B75" s="25" t="s">
        <v>159</v>
      </c>
      <c r="C75" s="25" t="s">
        <v>159</v>
      </c>
      <c r="D75" s="25" t="s">
        <v>159</v>
      </c>
      <c r="E75" s="25" t="s">
        <v>407</v>
      </c>
      <c r="F75" s="25" t="s">
        <v>128</v>
      </c>
      <c r="G75" s="25" t="s">
        <v>113</v>
      </c>
      <c r="H75" s="25" t="s">
        <v>408</v>
      </c>
      <c r="I75" s="25" t="s">
        <v>409</v>
      </c>
      <c r="J75" s="25" t="s">
        <v>410</v>
      </c>
      <c r="K75" s="29">
        <v>3490000</v>
      </c>
      <c r="L75" s="29">
        <v>440</v>
      </c>
      <c r="M75" s="29">
        <v>399.99999999999994</v>
      </c>
      <c r="N75" s="29">
        <v>40.000000000000057</v>
      </c>
      <c r="O75" s="29">
        <v>3489560</v>
      </c>
      <c r="P75" s="25" t="s">
        <v>132</v>
      </c>
      <c r="Q75" s="25" t="s">
        <v>43</v>
      </c>
      <c r="R75" s="25" t="s">
        <v>132</v>
      </c>
      <c r="S75" s="25" t="s">
        <v>411</v>
      </c>
      <c r="T75" s="25" t="s">
        <v>39</v>
      </c>
      <c r="U75" s="25">
        <v>440</v>
      </c>
      <c r="V75" s="25" t="s">
        <v>132</v>
      </c>
    </row>
    <row r="76" spans="1:22" x14ac:dyDescent="0.25">
      <c r="K76" s="29"/>
      <c r="L76" s="29"/>
      <c r="M76" s="29"/>
      <c r="N76" s="29"/>
      <c r="O76" s="29"/>
    </row>
    <row r="77" spans="1:22" x14ac:dyDescent="0.25">
      <c r="K77" s="29"/>
      <c r="L77" s="29"/>
      <c r="M77" s="29"/>
      <c r="N77" s="29"/>
      <c r="O77" s="29"/>
    </row>
    <row r="78" spans="1:22" x14ac:dyDescent="0.25">
      <c r="K78" s="29"/>
      <c r="L78" s="29"/>
      <c r="M78" s="29"/>
      <c r="N78" s="29"/>
      <c r="O78" s="29"/>
    </row>
    <row r="79" spans="1:22" x14ac:dyDescent="0.25">
      <c r="K79" s="29"/>
      <c r="L79" s="29"/>
      <c r="M79" s="29"/>
      <c r="N79" s="29"/>
      <c r="O79" s="29"/>
    </row>
    <row r="80" spans="1:22" x14ac:dyDescent="0.25">
      <c r="K80" s="29"/>
      <c r="L80" s="29"/>
      <c r="M80" s="29"/>
      <c r="N80" s="29"/>
      <c r="O80" s="29"/>
    </row>
    <row r="81" spans="11:15" x14ac:dyDescent="0.25">
      <c r="K81" s="29"/>
      <c r="L81" s="29"/>
      <c r="M81" s="29"/>
      <c r="N81" s="29"/>
      <c r="O81" s="29"/>
    </row>
    <row r="82" spans="11:15" x14ac:dyDescent="0.25">
      <c r="K82" s="29"/>
      <c r="L82" s="29"/>
      <c r="M82" s="29"/>
      <c r="N82" s="29"/>
      <c r="O82" s="29"/>
    </row>
    <row r="83" spans="11:15" x14ac:dyDescent="0.25">
      <c r="K83" s="29"/>
      <c r="L83" s="29"/>
      <c r="M83" s="29"/>
      <c r="N83" s="29"/>
      <c r="O83" s="29"/>
    </row>
    <row r="84" spans="11:15" x14ac:dyDescent="0.25">
      <c r="K84" s="29"/>
      <c r="L84" s="29"/>
      <c r="M84" s="29"/>
      <c r="N84" s="29"/>
      <c r="O84" s="29"/>
    </row>
    <row r="85" spans="11:15" x14ac:dyDescent="0.25">
      <c r="K85" s="29"/>
      <c r="L85" s="29"/>
      <c r="M85" s="29"/>
      <c r="N85" s="29"/>
      <c r="O85" s="29"/>
    </row>
    <row r="86" spans="11:15" x14ac:dyDescent="0.25">
      <c r="K86" s="29"/>
      <c r="L86" s="29"/>
      <c r="M86" s="29"/>
      <c r="N86" s="29"/>
      <c r="O86" s="29"/>
    </row>
    <row r="87" spans="11:15" x14ac:dyDescent="0.25">
      <c r="K87" s="29"/>
      <c r="L87" s="29"/>
      <c r="M87" s="29"/>
      <c r="N87" s="29"/>
      <c r="O87" s="29"/>
    </row>
    <row r="88" spans="11:15" x14ac:dyDescent="0.25">
      <c r="K88" s="29"/>
      <c r="L88" s="29"/>
      <c r="M88" s="29"/>
      <c r="N88" s="29"/>
      <c r="O88" s="29"/>
    </row>
    <row r="89" spans="11:15" x14ac:dyDescent="0.25">
      <c r="K89" s="29"/>
      <c r="L89" s="29"/>
      <c r="M89" s="29"/>
      <c r="N89" s="29"/>
      <c r="O89" s="29"/>
    </row>
    <row r="90" spans="11:15" x14ac:dyDescent="0.25">
      <c r="K90" s="29"/>
      <c r="L90" s="29"/>
      <c r="M90" s="29"/>
      <c r="N90" s="29"/>
      <c r="O90" s="29"/>
    </row>
    <row r="91" spans="11:15" x14ac:dyDescent="0.25">
      <c r="K91" s="29"/>
      <c r="L91" s="29"/>
      <c r="M91" s="29"/>
      <c r="N91" s="29"/>
      <c r="O91" s="29"/>
    </row>
    <row r="92" spans="11:15" x14ac:dyDescent="0.25">
      <c r="K92" s="29"/>
      <c r="L92" s="29"/>
      <c r="M92" s="29"/>
      <c r="N92" s="29"/>
      <c r="O92" s="29"/>
    </row>
    <row r="93" spans="11:15" x14ac:dyDescent="0.25">
      <c r="K93" s="29"/>
      <c r="L93" s="29"/>
      <c r="M93" s="29"/>
      <c r="N93" s="29"/>
      <c r="O93" s="29"/>
    </row>
    <row r="94" spans="11:15" x14ac:dyDescent="0.25">
      <c r="K94" s="29"/>
      <c r="L94" s="29"/>
      <c r="M94" s="29"/>
      <c r="N94" s="29"/>
      <c r="O94" s="29"/>
    </row>
    <row r="95" spans="11:15" x14ac:dyDescent="0.25">
      <c r="K95" s="29"/>
      <c r="L95" s="29"/>
      <c r="M95" s="29"/>
      <c r="N95" s="29"/>
      <c r="O95" s="29"/>
    </row>
    <row r="96" spans="11:15" x14ac:dyDescent="0.25">
      <c r="K96" s="29"/>
      <c r="L96" s="29"/>
      <c r="M96" s="29"/>
      <c r="N96" s="29"/>
      <c r="O96" s="29"/>
    </row>
    <row r="97" spans="11:15" x14ac:dyDescent="0.25">
      <c r="K97" s="29"/>
      <c r="L97" s="29"/>
      <c r="M97" s="29"/>
      <c r="N97" s="29"/>
      <c r="O97" s="29"/>
    </row>
    <row r="98" spans="11:15" x14ac:dyDescent="0.25">
      <c r="K98" s="29"/>
      <c r="L98" s="29"/>
      <c r="M98" s="29"/>
      <c r="N98" s="29"/>
      <c r="O98" s="29"/>
    </row>
    <row r="99" spans="11:15" x14ac:dyDescent="0.25">
      <c r="K99" s="29"/>
      <c r="L99" s="29"/>
      <c r="M99" s="29"/>
      <c r="N99" s="29"/>
      <c r="O99" s="29"/>
    </row>
    <row r="100" spans="11:15" x14ac:dyDescent="0.25">
      <c r="K100" s="29"/>
      <c r="L100" s="29"/>
      <c r="M100" s="29"/>
      <c r="N100" s="29"/>
      <c r="O100" s="29"/>
    </row>
    <row r="101" spans="11:15" x14ac:dyDescent="0.25">
      <c r="K101" s="29"/>
      <c r="L101" s="29"/>
      <c r="M101" s="29"/>
      <c r="N101" s="29"/>
      <c r="O101" s="29"/>
    </row>
    <row r="102" spans="11:15" x14ac:dyDescent="0.25">
      <c r="K102" s="29"/>
      <c r="L102" s="29"/>
      <c r="M102" s="29"/>
      <c r="N102" s="29"/>
      <c r="O102" s="29"/>
    </row>
    <row r="103" spans="11:15" x14ac:dyDescent="0.25">
      <c r="K103" s="29"/>
      <c r="L103" s="29"/>
      <c r="M103" s="29"/>
      <c r="N103" s="29"/>
      <c r="O103" s="29"/>
    </row>
    <row r="104" spans="11:15" x14ac:dyDescent="0.25">
      <c r="K104" s="29"/>
      <c r="L104" s="29"/>
      <c r="M104" s="29"/>
      <c r="N104" s="29"/>
      <c r="O104" s="29"/>
    </row>
    <row r="105" spans="11:15" x14ac:dyDescent="0.25">
      <c r="K105" s="29"/>
      <c r="L105" s="29"/>
      <c r="M105" s="29"/>
      <c r="N105" s="29"/>
      <c r="O105" s="29"/>
    </row>
    <row r="106" spans="11:15" x14ac:dyDescent="0.25">
      <c r="K106" s="29"/>
      <c r="L106" s="29"/>
      <c r="M106" s="29"/>
      <c r="N106" s="29"/>
      <c r="O106" s="29"/>
    </row>
    <row r="107" spans="11:15" x14ac:dyDescent="0.25">
      <c r="K107" s="29"/>
      <c r="L107" s="29"/>
      <c r="M107" s="29"/>
      <c r="N107" s="29"/>
      <c r="O107" s="29"/>
    </row>
    <row r="108" spans="11:15" x14ac:dyDescent="0.25">
      <c r="K108" s="29"/>
      <c r="L108" s="29"/>
      <c r="M108" s="29"/>
      <c r="N108" s="29"/>
      <c r="O108" s="29"/>
    </row>
    <row r="109" spans="11:15" x14ac:dyDescent="0.25">
      <c r="K109" s="29"/>
      <c r="L109" s="29"/>
      <c r="M109" s="29"/>
      <c r="N109" s="29"/>
      <c r="O109" s="29"/>
    </row>
    <row r="110" spans="11:15" x14ac:dyDescent="0.25">
      <c r="K110" s="29"/>
      <c r="L110" s="29"/>
      <c r="M110" s="29"/>
      <c r="N110" s="29"/>
      <c r="O110" s="29"/>
    </row>
    <row r="111" spans="11:15" x14ac:dyDescent="0.25">
      <c r="K111" s="29"/>
      <c r="L111" s="29"/>
      <c r="M111" s="29"/>
      <c r="N111" s="29"/>
      <c r="O111" s="29"/>
    </row>
    <row r="112" spans="11:15" x14ac:dyDescent="0.25">
      <c r="K112" s="29"/>
      <c r="L112" s="29"/>
      <c r="M112" s="29"/>
      <c r="N112" s="29"/>
      <c r="O112" s="29"/>
    </row>
    <row r="113" spans="11:15" x14ac:dyDescent="0.25">
      <c r="K113" s="29"/>
      <c r="L113" s="29"/>
      <c r="M113" s="29"/>
      <c r="N113" s="29"/>
      <c r="O113" s="29"/>
    </row>
    <row r="114" spans="11:15" x14ac:dyDescent="0.25">
      <c r="K114" s="29"/>
      <c r="L114" s="29"/>
      <c r="M114" s="29"/>
      <c r="N114" s="29"/>
      <c r="O114" s="29"/>
    </row>
    <row r="115" spans="11:15" x14ac:dyDescent="0.25">
      <c r="K115" s="29"/>
      <c r="L115" s="29"/>
      <c r="M115" s="29"/>
      <c r="N115" s="29"/>
      <c r="O115" s="29"/>
    </row>
    <row r="116" spans="11:15" x14ac:dyDescent="0.25">
      <c r="K116" s="29"/>
      <c r="L116" s="29"/>
      <c r="M116" s="29"/>
      <c r="N116" s="29"/>
      <c r="O116" s="29"/>
    </row>
    <row r="117" spans="11:15" x14ac:dyDescent="0.25">
      <c r="K117" s="29"/>
      <c r="L117" s="29"/>
      <c r="M117" s="29"/>
      <c r="N117" s="29"/>
      <c r="O117" s="29"/>
    </row>
    <row r="118" spans="11:15" x14ac:dyDescent="0.25">
      <c r="K118" s="29"/>
      <c r="L118" s="29"/>
      <c r="M118" s="29"/>
      <c r="N118" s="29"/>
      <c r="O118" s="29"/>
    </row>
    <row r="119" spans="11:15" x14ac:dyDescent="0.25">
      <c r="K119" s="29"/>
      <c r="L119" s="29"/>
      <c r="M119" s="29"/>
      <c r="N119" s="29"/>
      <c r="O119" s="29"/>
    </row>
    <row r="120" spans="11:15" x14ac:dyDescent="0.25">
      <c r="K120" s="29"/>
      <c r="L120" s="29"/>
      <c r="M120" s="29"/>
      <c r="N120" s="29"/>
      <c r="O120" s="29"/>
    </row>
    <row r="121" spans="11:15" x14ac:dyDescent="0.25">
      <c r="K121" s="29"/>
      <c r="L121" s="29"/>
      <c r="M121" s="29"/>
      <c r="N121" s="29"/>
      <c r="O121" s="29"/>
    </row>
    <row r="122" spans="11:15" x14ac:dyDescent="0.25">
      <c r="K122" s="29"/>
      <c r="L122" s="29"/>
      <c r="M122" s="29"/>
      <c r="N122" s="29"/>
      <c r="O122" s="29"/>
    </row>
    <row r="123" spans="11:15" x14ac:dyDescent="0.25">
      <c r="K123" s="29"/>
      <c r="L123" s="29"/>
      <c r="M123" s="29"/>
      <c r="N123" s="29"/>
      <c r="O123" s="29"/>
    </row>
    <row r="124" spans="11:15" x14ac:dyDescent="0.25">
      <c r="K124" s="29"/>
      <c r="L124" s="29"/>
      <c r="M124" s="29"/>
      <c r="N124" s="29"/>
      <c r="O124" s="29"/>
    </row>
    <row r="125" spans="11:15" x14ac:dyDescent="0.25">
      <c r="K125" s="29"/>
      <c r="L125" s="29"/>
      <c r="M125" s="29"/>
      <c r="N125" s="29"/>
      <c r="O125" s="29"/>
    </row>
    <row r="126" spans="11:15" x14ac:dyDescent="0.25">
      <c r="K126" s="29"/>
      <c r="L126" s="29"/>
      <c r="M126" s="29"/>
      <c r="N126" s="29"/>
      <c r="O126" s="29"/>
    </row>
    <row r="127" spans="11:15" x14ac:dyDescent="0.25">
      <c r="K127" s="29"/>
      <c r="L127" s="29"/>
      <c r="M127" s="29"/>
      <c r="N127" s="29"/>
      <c r="O127" s="29"/>
    </row>
    <row r="128" spans="11:15" x14ac:dyDescent="0.25">
      <c r="K128" s="29"/>
      <c r="L128" s="29"/>
      <c r="M128" s="29"/>
      <c r="N128" s="29"/>
      <c r="O128" s="29"/>
    </row>
    <row r="129" spans="11:15" x14ac:dyDescent="0.25">
      <c r="K129" s="29"/>
      <c r="L129" s="29"/>
      <c r="M129" s="29"/>
      <c r="N129" s="29"/>
      <c r="O129" s="29"/>
    </row>
    <row r="130" spans="11:15" x14ac:dyDescent="0.25">
      <c r="K130" s="29"/>
      <c r="L130" s="29"/>
      <c r="M130" s="29"/>
      <c r="N130" s="29"/>
      <c r="O130" s="29"/>
    </row>
    <row r="131" spans="11:15" x14ac:dyDescent="0.25">
      <c r="K131" s="29"/>
      <c r="L131" s="29"/>
      <c r="M131" s="29"/>
      <c r="N131" s="29"/>
      <c r="O131" s="29"/>
    </row>
    <row r="132" spans="11:15" x14ac:dyDescent="0.25">
      <c r="K132" s="29"/>
      <c r="L132" s="29"/>
      <c r="M132" s="29"/>
      <c r="N132" s="29"/>
      <c r="O132" s="29"/>
    </row>
    <row r="133" spans="11:15" x14ac:dyDescent="0.25">
      <c r="K133" s="29"/>
      <c r="L133" s="29"/>
      <c r="M133" s="29"/>
      <c r="N133" s="29"/>
      <c r="O133" s="29"/>
    </row>
    <row r="134" spans="11:15" x14ac:dyDescent="0.25">
      <c r="K134" s="29"/>
      <c r="L134" s="29"/>
      <c r="M134" s="29"/>
      <c r="N134" s="29"/>
      <c r="O134" s="29"/>
    </row>
    <row r="135" spans="11:15" x14ac:dyDescent="0.25">
      <c r="K135" s="29"/>
      <c r="L135" s="29"/>
      <c r="M135" s="29"/>
      <c r="N135" s="29"/>
      <c r="O135" s="29"/>
    </row>
    <row r="136" spans="11:15" x14ac:dyDescent="0.25">
      <c r="K136" s="29"/>
      <c r="L136" s="29"/>
      <c r="M136" s="29"/>
      <c r="N136" s="29"/>
      <c r="O136" s="29"/>
    </row>
    <row r="137" spans="11:15" x14ac:dyDescent="0.25">
      <c r="K137" s="29"/>
      <c r="L137" s="29"/>
      <c r="M137" s="29"/>
      <c r="N137" s="29"/>
      <c r="O137" s="29"/>
    </row>
    <row r="138" spans="11:15" x14ac:dyDescent="0.25">
      <c r="K138" s="29"/>
      <c r="L138" s="29"/>
      <c r="M138" s="29"/>
      <c r="N138" s="29"/>
      <c r="O138" s="29"/>
    </row>
    <row r="139" spans="11:15" x14ac:dyDescent="0.25">
      <c r="K139" s="29"/>
      <c r="L139" s="29"/>
      <c r="M139" s="29"/>
      <c r="N139" s="29"/>
      <c r="O139" s="29"/>
    </row>
    <row r="140" spans="11:15" x14ac:dyDescent="0.25">
      <c r="K140" s="29"/>
      <c r="L140" s="29"/>
      <c r="M140" s="29"/>
      <c r="N140" s="29"/>
      <c r="O140" s="29"/>
    </row>
    <row r="141" spans="11:15" x14ac:dyDescent="0.25">
      <c r="K141" s="29"/>
      <c r="L141" s="29"/>
      <c r="M141" s="29"/>
      <c r="N141" s="29"/>
      <c r="O141" s="29"/>
    </row>
    <row r="142" spans="11:15" x14ac:dyDescent="0.25">
      <c r="K142" s="29"/>
      <c r="L142" s="29"/>
      <c r="M142" s="29"/>
      <c r="N142" s="29"/>
      <c r="O142" s="29"/>
    </row>
    <row r="143" spans="11:15" x14ac:dyDescent="0.25">
      <c r="K143" s="29"/>
      <c r="L143" s="29"/>
      <c r="M143" s="29"/>
      <c r="N143" s="29"/>
      <c r="O143" s="29"/>
    </row>
    <row r="144" spans="11:15" x14ac:dyDescent="0.25">
      <c r="K144" s="29"/>
      <c r="L144" s="29"/>
      <c r="M144" s="29"/>
      <c r="N144" s="29"/>
      <c r="O144" s="29"/>
    </row>
    <row r="145" spans="11:16" x14ac:dyDescent="0.25">
      <c r="K145" s="29"/>
      <c r="L145" s="29"/>
      <c r="M145" s="29"/>
      <c r="N145" s="29"/>
      <c r="O145" s="29"/>
    </row>
    <row r="146" spans="11:16" x14ac:dyDescent="0.25">
      <c r="K146" s="29"/>
      <c r="L146" s="29"/>
      <c r="M146" s="29"/>
      <c r="N146" s="29"/>
      <c r="O146" s="29"/>
    </row>
    <row r="147" spans="11:16" x14ac:dyDescent="0.25">
      <c r="K147" s="29"/>
      <c r="L147" s="29"/>
      <c r="M147" s="29"/>
      <c r="N147" s="29"/>
      <c r="O147" s="29"/>
    </row>
    <row r="148" spans="11:16" x14ac:dyDescent="0.25">
      <c r="K148" s="29"/>
      <c r="L148" s="29"/>
      <c r="M148" s="29"/>
      <c r="N148" s="29"/>
      <c r="O148" s="29"/>
    </row>
    <row r="149" spans="11:16" x14ac:dyDescent="0.25">
      <c r="K149" s="29"/>
      <c r="L149" s="29"/>
      <c r="M149" s="29"/>
      <c r="N149" s="29"/>
      <c r="O149" s="29"/>
    </row>
    <row r="150" spans="11:16" x14ac:dyDescent="0.25">
      <c r="K150" s="29"/>
      <c r="L150" s="29"/>
      <c r="M150" s="29"/>
      <c r="N150" s="29"/>
      <c r="O150" s="29"/>
    </row>
    <row r="151" spans="11:16" x14ac:dyDescent="0.25">
      <c r="K151" s="29"/>
      <c r="L151" s="29"/>
      <c r="M151" s="29"/>
      <c r="N151" s="29"/>
      <c r="O151" s="29"/>
    </row>
    <row r="152" spans="11:16" x14ac:dyDescent="0.25">
      <c r="K152" s="29"/>
      <c r="L152" s="29"/>
      <c r="M152" s="29"/>
      <c r="N152" s="29"/>
      <c r="O152" s="29"/>
    </row>
    <row r="153" spans="11:16" x14ac:dyDescent="0.25">
      <c r="K153" s="29"/>
      <c r="L153" s="29"/>
      <c r="M153" s="29"/>
      <c r="N153" s="29"/>
      <c r="O153" s="29"/>
    </row>
    <row r="154" spans="11:16" x14ac:dyDescent="0.25">
      <c r="K154" s="29"/>
      <c r="L154" s="29"/>
      <c r="M154" s="29"/>
      <c r="N154" s="29"/>
      <c r="O154" s="29"/>
    </row>
    <row r="155" spans="11:16" x14ac:dyDescent="0.25">
      <c r="K155" s="29"/>
      <c r="L155" s="29"/>
      <c r="M155" s="29"/>
      <c r="N155" s="29"/>
      <c r="O155" s="29"/>
    </row>
    <row r="156" spans="11:16" x14ac:dyDescent="0.25">
      <c r="K156" s="29"/>
      <c r="L156" s="29"/>
      <c r="M156" s="29"/>
      <c r="N156" s="29"/>
      <c r="O156" s="29"/>
      <c r="P156" s="32"/>
    </row>
    <row r="157" spans="11:16" x14ac:dyDescent="0.25">
      <c r="K157" s="29"/>
      <c r="L157" s="29"/>
      <c r="M157" s="29"/>
      <c r="N157" s="29"/>
      <c r="O157" s="29"/>
    </row>
    <row r="158" spans="11:16" x14ac:dyDescent="0.25">
      <c r="K158" s="29"/>
      <c r="L158" s="29"/>
      <c r="M158" s="29"/>
      <c r="N158" s="29"/>
      <c r="O158" s="29"/>
    </row>
    <row r="159" spans="11:16" x14ac:dyDescent="0.25">
      <c r="K159" s="29"/>
      <c r="L159" s="29"/>
      <c r="M159" s="29"/>
      <c r="N159" s="29"/>
      <c r="O159" s="29"/>
    </row>
    <row r="160" spans="11:16" x14ac:dyDescent="0.25">
      <c r="K160" s="29"/>
      <c r="L160" s="29"/>
      <c r="M160" s="29"/>
      <c r="N160" s="29"/>
      <c r="O160" s="29"/>
    </row>
    <row r="161" spans="11:15" x14ac:dyDescent="0.25">
      <c r="K161" s="29"/>
      <c r="L161" s="29"/>
      <c r="M161" s="29"/>
      <c r="N161" s="29"/>
      <c r="O161" s="29"/>
    </row>
    <row r="162" spans="11:15" x14ac:dyDescent="0.25">
      <c r="K162" s="29"/>
      <c r="L162" s="29"/>
      <c r="M162" s="29"/>
      <c r="N162" s="29"/>
      <c r="O162" s="29"/>
    </row>
    <row r="163" spans="11:15" x14ac:dyDescent="0.25">
      <c r="K163" s="29"/>
      <c r="L163" s="29"/>
      <c r="M163" s="29"/>
      <c r="N163" s="29"/>
      <c r="O163" s="29"/>
    </row>
    <row r="164" spans="11:15" x14ac:dyDescent="0.25">
      <c r="K164" s="29"/>
      <c r="L164" s="29"/>
      <c r="M164" s="29"/>
      <c r="N164" s="29"/>
      <c r="O164" s="29"/>
    </row>
    <row r="165" spans="11:15" x14ac:dyDescent="0.25">
      <c r="K165" s="29"/>
      <c r="L165" s="29"/>
      <c r="M165" s="29"/>
      <c r="N165" s="29"/>
      <c r="O165" s="29"/>
    </row>
    <row r="166" spans="11:15" x14ac:dyDescent="0.25">
      <c r="K166" s="29"/>
      <c r="L166" s="29"/>
      <c r="M166" s="29"/>
      <c r="N166" s="29"/>
      <c r="O166" s="29"/>
    </row>
    <row r="167" spans="11:15" x14ac:dyDescent="0.25">
      <c r="K167" s="29"/>
      <c r="L167" s="29"/>
      <c r="M167" s="29"/>
      <c r="N167" s="29"/>
      <c r="O167" s="29"/>
    </row>
    <row r="168" spans="11:15" x14ac:dyDescent="0.25">
      <c r="K168" s="29"/>
      <c r="L168" s="29"/>
      <c r="M168" s="29"/>
      <c r="N168" s="29"/>
      <c r="O168" s="29"/>
    </row>
    <row r="169" spans="11:15" x14ac:dyDescent="0.25">
      <c r="K169" s="29"/>
      <c r="L169" s="29"/>
      <c r="M169" s="29"/>
      <c r="N169" s="29"/>
      <c r="O169" s="29"/>
    </row>
    <row r="170" spans="11:15" x14ac:dyDescent="0.25">
      <c r="K170" s="29"/>
      <c r="L170" s="29"/>
      <c r="M170" s="29"/>
      <c r="N170" s="29"/>
      <c r="O170" s="29"/>
    </row>
    <row r="171" spans="11:15" x14ac:dyDescent="0.25">
      <c r="K171" s="29"/>
      <c r="L171" s="29"/>
      <c r="M171" s="29"/>
      <c r="N171" s="29"/>
      <c r="O171" s="29"/>
    </row>
    <row r="172" spans="11:15" x14ac:dyDescent="0.25">
      <c r="K172" s="29"/>
      <c r="L172" s="29"/>
      <c r="M172" s="29"/>
      <c r="N172" s="29"/>
      <c r="O172" s="29"/>
    </row>
    <row r="173" spans="11:15" x14ac:dyDescent="0.25">
      <c r="K173" s="29"/>
      <c r="L173" s="29"/>
      <c r="M173" s="29"/>
      <c r="N173" s="29"/>
      <c r="O173" s="29"/>
    </row>
    <row r="174" spans="11:15" x14ac:dyDescent="0.25">
      <c r="K174" s="29"/>
      <c r="L174" s="29"/>
      <c r="M174" s="29"/>
      <c r="N174" s="29"/>
      <c r="O174" s="29"/>
    </row>
    <row r="175" spans="11:15" x14ac:dyDescent="0.25">
      <c r="K175" s="29"/>
      <c r="L175" s="29"/>
      <c r="M175" s="29"/>
      <c r="N175" s="29"/>
      <c r="O175" s="29"/>
    </row>
    <row r="176" spans="11:15" x14ac:dyDescent="0.25">
      <c r="K176" s="29"/>
      <c r="L176" s="29"/>
      <c r="M176" s="29"/>
      <c r="N176" s="29"/>
      <c r="O176" s="29"/>
    </row>
  </sheetData>
  <autoFilter ref="A1:V75" xr:uid="{76840004-4C5F-438D-AF21-D2EA87A7976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2F27-8928-405C-9DBF-3CDDD6301D8B}">
  <sheetPr>
    <tabColor rgb="FFFFC000"/>
  </sheetPr>
  <dimension ref="A1:I13"/>
  <sheetViews>
    <sheetView zoomScaleNormal="100" workbookViewId="0">
      <pane ySplit="1" topLeftCell="A2" activePane="bottomLeft" state="frozen"/>
      <selection pane="bottomLeft" activeCell="I2" sqref="I2"/>
    </sheetView>
  </sheetViews>
  <sheetFormatPr defaultColWidth="9" defaultRowHeight="13.5" x14ac:dyDescent="0.3"/>
  <cols>
    <col min="1" max="1" width="12.125" style="33" bestFit="1" customWidth="1"/>
    <col min="2" max="2" width="16.5" style="38" bestFit="1" customWidth="1"/>
    <col min="3" max="3" width="10" style="33" bestFit="1" customWidth="1"/>
    <col min="4" max="4" width="18" style="33" bestFit="1" customWidth="1"/>
    <col min="5" max="5" width="15.125" style="34" bestFit="1" customWidth="1"/>
    <col min="6" max="7" width="9.625" style="35" bestFit="1" customWidth="1"/>
    <col min="8" max="8" width="49.875" style="33" bestFit="1" customWidth="1"/>
    <col min="9" max="16384" width="9" style="33"/>
  </cols>
  <sheetData>
    <row r="1" spans="1:9" x14ac:dyDescent="0.3">
      <c r="A1" s="27" t="s">
        <v>23</v>
      </c>
      <c r="B1" s="27" t="s">
        <v>24</v>
      </c>
      <c r="C1" s="27" t="s">
        <v>9</v>
      </c>
      <c r="D1" s="27" t="s">
        <v>25</v>
      </c>
      <c r="E1" s="27" t="s">
        <v>26</v>
      </c>
      <c r="F1" s="27" t="s">
        <v>27</v>
      </c>
      <c r="G1" s="27" t="s">
        <v>28</v>
      </c>
      <c r="H1" s="27" t="s">
        <v>29</v>
      </c>
      <c r="I1" s="33" t="s">
        <v>431</v>
      </c>
    </row>
    <row r="2" spans="1:9" x14ac:dyDescent="0.25">
      <c r="A2" s="25" t="s">
        <v>0</v>
      </c>
      <c r="B2" s="36">
        <v>46203</v>
      </c>
      <c r="C2" s="33" t="s">
        <v>40</v>
      </c>
      <c r="D2" s="33" t="s">
        <v>41</v>
      </c>
      <c r="E2" s="34" t="s">
        <v>42</v>
      </c>
      <c r="F2" s="37">
        <v>3490000</v>
      </c>
      <c r="G2" s="37">
        <v>0</v>
      </c>
      <c r="H2" s="33" t="s">
        <v>43</v>
      </c>
      <c r="I2" s="33" t="s">
        <v>432</v>
      </c>
    </row>
    <row r="3" spans="1:9" x14ac:dyDescent="0.25">
      <c r="A3" s="33" t="s">
        <v>0</v>
      </c>
      <c r="B3" s="38">
        <v>46203</v>
      </c>
      <c r="C3" s="33" t="s">
        <v>44</v>
      </c>
      <c r="D3" s="33" t="s">
        <v>45</v>
      </c>
      <c r="E3" s="34" t="s">
        <v>46</v>
      </c>
      <c r="F3" s="37">
        <v>3490000</v>
      </c>
      <c r="G3" s="37">
        <v>0</v>
      </c>
      <c r="H3" s="33" t="s">
        <v>43</v>
      </c>
      <c r="I3" s="33" t="s">
        <v>432</v>
      </c>
    </row>
    <row r="4" spans="1:9" x14ac:dyDescent="0.25">
      <c r="F4" s="37"/>
      <c r="G4" s="37"/>
    </row>
    <row r="5" spans="1:9" x14ac:dyDescent="0.25">
      <c r="F5" s="37"/>
      <c r="G5" s="37"/>
    </row>
    <row r="6" spans="1:9" x14ac:dyDescent="0.25">
      <c r="F6" s="37"/>
      <c r="G6" s="37"/>
    </row>
    <row r="7" spans="1:9" x14ac:dyDescent="0.25">
      <c r="F7" s="37"/>
      <c r="G7" s="37"/>
    </row>
    <row r="8" spans="1:9" x14ac:dyDescent="0.25">
      <c r="F8" s="37"/>
      <c r="G8" s="37"/>
    </row>
    <row r="9" spans="1:9" x14ac:dyDescent="0.25">
      <c r="F9" s="37"/>
      <c r="G9" s="37"/>
    </row>
    <row r="10" spans="1:9" x14ac:dyDescent="0.3">
      <c r="A10" s="25"/>
    </row>
    <row r="11" spans="1:9" x14ac:dyDescent="0.3">
      <c r="A11" s="25"/>
    </row>
    <row r="12" spans="1:9" x14ac:dyDescent="0.3">
      <c r="A12" s="25"/>
    </row>
    <row r="13" spans="1:9" x14ac:dyDescent="0.3">
      <c r="A13" s="25"/>
    </row>
  </sheetData>
  <autoFilter ref="A1:H1" xr:uid="{E79EFBC7-5AEF-4268-B941-4F97FB5D8FE3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EC0-A607-4224-B21C-01F61687AE17}">
  <sheetPr>
    <tabColor rgb="FFFFC000"/>
  </sheetPr>
  <dimension ref="A1:G25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9" defaultRowHeight="13.5" x14ac:dyDescent="0.3"/>
  <cols>
    <col min="1" max="1" width="11.625" style="39" bestFit="1" customWidth="1"/>
    <col min="2" max="2" width="12.5" style="33" bestFit="1" customWidth="1"/>
    <col min="3" max="3" width="56" style="33" bestFit="1" customWidth="1"/>
    <col min="4" max="4" width="17.125" style="38" bestFit="1" customWidth="1"/>
    <col min="5" max="5" width="10.625" style="33" bestFit="1" customWidth="1"/>
    <col min="6" max="6" width="9.625" style="42" customWidth="1"/>
    <col min="7" max="7" width="17.375" style="33" bestFit="1" customWidth="1"/>
    <col min="8" max="16384" width="9" style="33"/>
  </cols>
  <sheetData>
    <row r="1" spans="1:7" x14ac:dyDescent="0.3">
      <c r="A1" s="27" t="s">
        <v>30</v>
      </c>
      <c r="B1" s="27" t="s">
        <v>31</v>
      </c>
      <c r="C1" s="27" t="s">
        <v>32</v>
      </c>
      <c r="D1" s="27" t="s">
        <v>33</v>
      </c>
      <c r="E1" s="27" t="s">
        <v>34</v>
      </c>
      <c r="F1" s="27" t="s">
        <v>35</v>
      </c>
      <c r="G1" s="27" t="s">
        <v>36</v>
      </c>
    </row>
    <row r="2" spans="1:7" x14ac:dyDescent="0.25">
      <c r="A2" s="40" t="s">
        <v>0</v>
      </c>
      <c r="B2" s="33" t="s">
        <v>433</v>
      </c>
      <c r="C2" s="35" t="s">
        <v>37</v>
      </c>
      <c r="D2" s="41">
        <v>46196</v>
      </c>
      <c r="E2" s="42">
        <v>0</v>
      </c>
      <c r="F2" s="42">
        <v>440000</v>
      </c>
      <c r="G2" s="33">
        <v>0</v>
      </c>
    </row>
    <row r="3" spans="1:7" x14ac:dyDescent="0.3">
      <c r="A3" s="39" t="s">
        <v>0</v>
      </c>
      <c r="B3" s="33" t="s">
        <v>433</v>
      </c>
      <c r="C3" s="35" t="s">
        <v>38</v>
      </c>
      <c r="D3" s="41">
        <v>46196</v>
      </c>
      <c r="E3" s="42">
        <v>0</v>
      </c>
      <c r="F3" s="42">
        <v>330000</v>
      </c>
      <c r="G3" s="33">
        <v>0</v>
      </c>
    </row>
    <row r="4" spans="1:7" x14ac:dyDescent="0.3">
      <c r="A4" s="39" t="s">
        <v>0</v>
      </c>
      <c r="B4" s="33" t="s">
        <v>39</v>
      </c>
      <c r="C4" s="33" t="s">
        <v>37</v>
      </c>
      <c r="D4" s="38">
        <v>46203</v>
      </c>
      <c r="E4" s="35">
        <v>0</v>
      </c>
      <c r="F4" s="35">
        <v>440000</v>
      </c>
      <c r="G4" s="33">
        <v>0</v>
      </c>
    </row>
    <row r="5" spans="1:7" x14ac:dyDescent="0.3">
      <c r="A5" s="39" t="s">
        <v>0</v>
      </c>
      <c r="B5" s="33" t="s">
        <v>39</v>
      </c>
      <c r="C5" s="33" t="s">
        <v>38</v>
      </c>
      <c r="D5" s="38">
        <v>46203</v>
      </c>
      <c r="E5" s="35">
        <v>0</v>
      </c>
      <c r="F5" s="35">
        <v>330000</v>
      </c>
      <c r="G5" s="33">
        <v>0</v>
      </c>
    </row>
    <row r="6" spans="1:7" x14ac:dyDescent="0.3">
      <c r="E6" s="35"/>
      <c r="F6" s="35"/>
    </row>
    <row r="7" spans="1:7" x14ac:dyDescent="0.25">
      <c r="A7" s="40"/>
      <c r="E7" s="35"/>
      <c r="F7" s="35"/>
    </row>
    <row r="8" spans="1:7" x14ac:dyDescent="0.3">
      <c r="E8" s="35"/>
      <c r="F8" s="35"/>
    </row>
    <row r="9" spans="1:7" x14ac:dyDescent="0.3">
      <c r="E9" s="35"/>
      <c r="F9" s="35"/>
    </row>
    <row r="10" spans="1:7" x14ac:dyDescent="0.25">
      <c r="A10" s="40"/>
      <c r="E10" s="35"/>
      <c r="F10" s="35"/>
    </row>
    <row r="11" spans="1:7" x14ac:dyDescent="0.25">
      <c r="A11" s="40"/>
      <c r="E11" s="35"/>
      <c r="F11" s="35"/>
    </row>
    <row r="12" spans="1:7" x14ac:dyDescent="0.3">
      <c r="E12" s="35"/>
      <c r="F12" s="35"/>
    </row>
    <row r="13" spans="1:7" x14ac:dyDescent="0.3">
      <c r="E13" s="35"/>
      <c r="F13" s="35"/>
    </row>
    <row r="14" spans="1:7" x14ac:dyDescent="0.3">
      <c r="F14" s="35"/>
    </row>
    <row r="15" spans="1:7" x14ac:dyDescent="0.25">
      <c r="A15" s="40"/>
      <c r="E15" s="35"/>
      <c r="F15" s="35"/>
    </row>
    <row r="16" spans="1:7" x14ac:dyDescent="0.25">
      <c r="A16" s="40"/>
      <c r="E16" s="35"/>
      <c r="F16" s="35"/>
    </row>
    <row r="17" spans="1:6" x14ac:dyDescent="0.3">
      <c r="F17" s="35"/>
    </row>
    <row r="18" spans="1:6" x14ac:dyDescent="0.3">
      <c r="F18" s="35"/>
    </row>
    <row r="19" spans="1:6" x14ac:dyDescent="0.3">
      <c r="F19" s="35"/>
    </row>
    <row r="20" spans="1:6" x14ac:dyDescent="0.25">
      <c r="A20" s="40"/>
      <c r="E20" s="35"/>
      <c r="F20" s="35"/>
    </row>
    <row r="21" spans="1:6" x14ac:dyDescent="0.3">
      <c r="E21" s="35"/>
      <c r="F21" s="35"/>
    </row>
    <row r="22" spans="1:6" x14ac:dyDescent="0.3">
      <c r="E22" s="35"/>
      <c r="F22" s="35"/>
    </row>
    <row r="23" spans="1:6" x14ac:dyDescent="0.3">
      <c r="E23" s="35"/>
      <c r="F23" s="35"/>
    </row>
    <row r="24" spans="1:6" x14ac:dyDescent="0.3">
      <c r="E24" s="35"/>
      <c r="F24" s="35"/>
    </row>
    <row r="25" spans="1:6" x14ac:dyDescent="0.3">
      <c r="E25" s="35"/>
      <c r="F25" s="35"/>
    </row>
  </sheetData>
  <autoFilter ref="A1:G25" xr:uid="{0B23C99E-AD09-4112-9B3B-8346C10DEB5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비즈업_요약</vt:lpstr>
      <vt:lpstr>비즈업_토스</vt:lpstr>
      <vt:lpstr>비즈업_무통장</vt:lpstr>
      <vt:lpstr>비즈업_부가서비스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경영지원</dc:creator>
  <cp:lastModifiedBy>권지후</cp:lastModifiedBy>
  <dcterms:created xsi:type="dcterms:W3CDTF">2026-07-06T05:19:57Z</dcterms:created>
  <dcterms:modified xsi:type="dcterms:W3CDTF">2026-07-15T00:59:27Z</dcterms:modified>
</cp:coreProperties>
</file>